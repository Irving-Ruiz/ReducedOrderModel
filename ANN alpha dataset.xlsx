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KAREN\TRABAJOS\Elipsoide\Archivos\Supplementary material\"/>
    </mc:Choice>
  </mc:AlternateContent>
  <xr:revisionPtr revIDLastSave="0" documentId="13_ncr:1_{23FF2854-3162-4C9D-ADE2-01E73BEBBE5C}" xr6:coauthVersionLast="47" xr6:coauthVersionMax="47" xr10:uidLastSave="{00000000-0000-0000-0000-000000000000}"/>
  <bookViews>
    <workbookView xWindow="-28920" yWindow="1440" windowWidth="29040" windowHeight="15720" activeTab="2" xr2:uid="{50CB72F4-0439-4F8A-A182-980B5CE0A695}"/>
  </bookViews>
  <sheets>
    <sheet name="Training data" sheetId="40" r:id="rId1"/>
    <sheet name="ANN performance" sheetId="41" r:id="rId2"/>
    <sheet name="Testing data" sheetId="42" r:id="rId3"/>
  </sheets>
  <definedNames>
    <definedName name="solver_adj" localSheetId="2" hidden="1">'Testing data'!#REF!</definedName>
    <definedName name="solver_adj" localSheetId="0" hidden="1">'Training data'!$I$1:$I$26</definedName>
    <definedName name="solver_cvg" localSheetId="2" hidden="1">0.0001</definedName>
    <definedName name="solver_cvg" localSheetId="0" hidden="1">0.0001</definedName>
    <definedName name="solver_drv" localSheetId="2" hidden="1">2</definedName>
    <definedName name="solver_drv" localSheetId="0" hidden="1">2</definedName>
    <definedName name="solver_eng" localSheetId="2" hidden="1">1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2147483647</definedName>
    <definedName name="solver_itr" localSheetId="0" hidden="1">2147483647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1</definedName>
    <definedName name="solver_msl" localSheetId="0" hidden="1">1</definedName>
    <definedName name="solver_neg" localSheetId="2" hidden="1">2</definedName>
    <definedName name="solver_neg" localSheetId="0" hidden="1">2</definedName>
    <definedName name="solver_nod" localSheetId="2" hidden="1">2147483647</definedName>
    <definedName name="solver_nod" localSheetId="0" hidden="1">2147483647</definedName>
    <definedName name="solver_num" localSheetId="2" hidden="1">0</definedName>
    <definedName name="solver_num" localSheetId="0" hidden="1">0</definedName>
    <definedName name="solver_nwt" localSheetId="2" hidden="1">1</definedName>
    <definedName name="solver_nwt" localSheetId="0" hidden="1">1</definedName>
    <definedName name="solver_opt" localSheetId="2" hidden="1">'Testing data'!#REF!</definedName>
    <definedName name="solver_opt" localSheetId="0" hidden="1">'Training data'!$V$2</definedName>
    <definedName name="solver_pre" localSheetId="2" hidden="1">0.000001</definedName>
    <definedName name="solver_pre" localSheetId="0" hidden="1">0.000001</definedName>
    <definedName name="solver_rbv" localSheetId="2" hidden="1">2</definedName>
    <definedName name="solver_rbv" localSheetId="0" hidden="1">2</definedName>
    <definedName name="solver_rlx" localSheetId="2" hidden="1">2</definedName>
    <definedName name="solver_rlx" localSheetId="0" hidden="1">2</definedName>
    <definedName name="solver_rsd" localSheetId="2" hidden="1">10</definedName>
    <definedName name="solver_rsd" localSheetId="0" hidden="1">10</definedName>
    <definedName name="solver_scl" localSheetId="2" hidden="1">1</definedName>
    <definedName name="solver_scl" localSheetId="0" hidden="1">1</definedName>
    <definedName name="solver_sho" localSheetId="2" hidden="1">2</definedName>
    <definedName name="solver_sho" localSheetId="0" hidden="1">2</definedName>
    <definedName name="solver_ssz" localSheetId="2" hidden="1">10</definedName>
    <definedName name="solver_ssz" localSheetId="0" hidden="1">10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2</definedName>
    <definedName name="solver_typ" localSheetId="0" hidden="1">2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40" l="1"/>
  <c r="F18" i="42" l="1"/>
  <c r="F19" i="42"/>
  <c r="F20" i="42"/>
  <c r="F21" i="42"/>
  <c r="F22" i="42"/>
  <c r="E18" i="42"/>
  <c r="E19" i="42"/>
  <c r="E20" i="42"/>
  <c r="E21" i="42"/>
  <c r="E22" i="42"/>
  <c r="D18" i="42"/>
  <c r="D19" i="42"/>
  <c r="D20" i="42"/>
  <c r="D21" i="42"/>
  <c r="D22" i="42"/>
  <c r="C18" i="42"/>
  <c r="C19" i="42"/>
  <c r="C20" i="42"/>
  <c r="C21" i="42"/>
  <c r="C22" i="42"/>
  <c r="B18" i="42"/>
  <c r="B19" i="42"/>
  <c r="B20" i="42"/>
  <c r="B21" i="42"/>
  <c r="B22" i="42"/>
  <c r="A18" i="42"/>
  <c r="A19" i="42"/>
  <c r="A20" i="42"/>
  <c r="A21" i="42"/>
  <c r="A22" i="42"/>
  <c r="I19" i="42" l="1"/>
  <c r="L19" i="42" s="1"/>
  <c r="J19" i="42"/>
  <c r="M19" i="42" s="1"/>
  <c r="K18" i="42"/>
  <c r="N18" i="42" s="1"/>
  <c r="K20" i="42"/>
  <c r="N20" i="42" s="1"/>
  <c r="K21" i="42"/>
  <c r="N21" i="42" s="1"/>
  <c r="K19" i="42"/>
  <c r="N19" i="42" s="1"/>
  <c r="O19" i="42" s="1"/>
  <c r="I20" i="42"/>
  <c r="L20" i="42" s="1"/>
  <c r="J20" i="42"/>
  <c r="M20" i="42" s="1"/>
  <c r="I22" i="42"/>
  <c r="L22" i="42" s="1"/>
  <c r="I18" i="42"/>
  <c r="L18" i="42" s="1"/>
  <c r="J18" i="42"/>
  <c r="M18" i="42" s="1"/>
  <c r="J21" i="42"/>
  <c r="M21" i="42" s="1"/>
  <c r="K22" i="42"/>
  <c r="N22" i="42" s="1"/>
  <c r="J22" i="42"/>
  <c r="M22" i="42" s="1"/>
  <c r="I21" i="42"/>
  <c r="L21" i="42" s="1"/>
  <c r="V4" i="40"/>
  <c r="P274" i="40"/>
  <c r="S274" i="40" s="1"/>
  <c r="O274" i="40"/>
  <c r="R274" i="40" s="1"/>
  <c r="N274" i="40"/>
  <c r="Q274" i="40" s="1"/>
  <c r="P273" i="40"/>
  <c r="S273" i="40" s="1"/>
  <c r="O273" i="40"/>
  <c r="R273" i="40" s="1"/>
  <c r="N273" i="40"/>
  <c r="Q273" i="40" s="1"/>
  <c r="P272" i="40"/>
  <c r="S272" i="40" s="1"/>
  <c r="O272" i="40"/>
  <c r="R272" i="40" s="1"/>
  <c r="N272" i="40"/>
  <c r="Q272" i="40" s="1"/>
  <c r="P271" i="40"/>
  <c r="S271" i="40" s="1"/>
  <c r="O271" i="40"/>
  <c r="R271" i="40" s="1"/>
  <c r="N271" i="40"/>
  <c r="Q271" i="40" s="1"/>
  <c r="P270" i="40"/>
  <c r="S270" i="40" s="1"/>
  <c r="O270" i="40"/>
  <c r="R270" i="40" s="1"/>
  <c r="N270" i="40"/>
  <c r="Q270" i="40" s="1"/>
  <c r="P269" i="40"/>
  <c r="S269" i="40" s="1"/>
  <c r="O269" i="40"/>
  <c r="R269" i="40" s="1"/>
  <c r="N269" i="40"/>
  <c r="Q269" i="40" s="1"/>
  <c r="P268" i="40"/>
  <c r="S268" i="40" s="1"/>
  <c r="O268" i="40"/>
  <c r="R268" i="40" s="1"/>
  <c r="N268" i="40"/>
  <c r="Q268" i="40" s="1"/>
  <c r="P267" i="40"/>
  <c r="S267" i="40" s="1"/>
  <c r="O267" i="40"/>
  <c r="R267" i="40" s="1"/>
  <c r="N267" i="40"/>
  <c r="Q267" i="40" s="1"/>
  <c r="P266" i="40"/>
  <c r="S266" i="40" s="1"/>
  <c r="O266" i="40"/>
  <c r="R266" i="40" s="1"/>
  <c r="N266" i="40"/>
  <c r="Q266" i="40" s="1"/>
  <c r="P265" i="40"/>
  <c r="S265" i="40" s="1"/>
  <c r="O265" i="40"/>
  <c r="R265" i="40" s="1"/>
  <c r="N265" i="40"/>
  <c r="Q265" i="40" s="1"/>
  <c r="P264" i="40"/>
  <c r="S264" i="40" s="1"/>
  <c r="O264" i="40"/>
  <c r="R264" i="40" s="1"/>
  <c r="N264" i="40"/>
  <c r="Q264" i="40" s="1"/>
  <c r="P263" i="40"/>
  <c r="S263" i="40" s="1"/>
  <c r="O263" i="40"/>
  <c r="R263" i="40" s="1"/>
  <c r="N263" i="40"/>
  <c r="Q263" i="40" s="1"/>
  <c r="P262" i="40"/>
  <c r="S262" i="40" s="1"/>
  <c r="O262" i="40"/>
  <c r="R262" i="40" s="1"/>
  <c r="N262" i="40"/>
  <c r="Q262" i="40" s="1"/>
  <c r="P261" i="40"/>
  <c r="S261" i="40" s="1"/>
  <c r="O261" i="40"/>
  <c r="R261" i="40" s="1"/>
  <c r="N261" i="40"/>
  <c r="Q261" i="40" s="1"/>
  <c r="P260" i="40"/>
  <c r="S260" i="40" s="1"/>
  <c r="O260" i="40"/>
  <c r="R260" i="40" s="1"/>
  <c r="N260" i="40"/>
  <c r="Q260" i="40" s="1"/>
  <c r="P259" i="40"/>
  <c r="S259" i="40" s="1"/>
  <c r="O259" i="40"/>
  <c r="R259" i="40" s="1"/>
  <c r="N259" i="40"/>
  <c r="Q259" i="40" s="1"/>
  <c r="P258" i="40"/>
  <c r="S258" i="40" s="1"/>
  <c r="O258" i="40"/>
  <c r="R258" i="40" s="1"/>
  <c r="N258" i="40"/>
  <c r="Q258" i="40" s="1"/>
  <c r="P257" i="40"/>
  <c r="S257" i="40" s="1"/>
  <c r="O257" i="40"/>
  <c r="R257" i="40" s="1"/>
  <c r="N257" i="40"/>
  <c r="Q257" i="40" s="1"/>
  <c r="P256" i="40"/>
  <c r="S256" i="40" s="1"/>
  <c r="O256" i="40"/>
  <c r="R256" i="40" s="1"/>
  <c r="N256" i="40"/>
  <c r="Q256" i="40" s="1"/>
  <c r="P255" i="40"/>
  <c r="S255" i="40" s="1"/>
  <c r="O255" i="40"/>
  <c r="R255" i="40" s="1"/>
  <c r="N255" i="40"/>
  <c r="Q255" i="40" s="1"/>
  <c r="P254" i="40"/>
  <c r="S254" i="40" s="1"/>
  <c r="O254" i="40"/>
  <c r="R254" i="40" s="1"/>
  <c r="N254" i="40"/>
  <c r="Q254" i="40" s="1"/>
  <c r="P253" i="40"/>
  <c r="S253" i="40" s="1"/>
  <c r="O253" i="40"/>
  <c r="R253" i="40" s="1"/>
  <c r="N253" i="40"/>
  <c r="Q253" i="40" s="1"/>
  <c r="P252" i="40"/>
  <c r="S252" i="40" s="1"/>
  <c r="O252" i="40"/>
  <c r="R252" i="40" s="1"/>
  <c r="N252" i="40"/>
  <c r="Q252" i="40" s="1"/>
  <c r="P251" i="40"/>
  <c r="S251" i="40" s="1"/>
  <c r="O251" i="40"/>
  <c r="R251" i="40" s="1"/>
  <c r="N251" i="40"/>
  <c r="Q251" i="40" s="1"/>
  <c r="P250" i="40"/>
  <c r="S250" i="40" s="1"/>
  <c r="O250" i="40"/>
  <c r="R250" i="40" s="1"/>
  <c r="N250" i="40"/>
  <c r="Q250" i="40" s="1"/>
  <c r="P249" i="40"/>
  <c r="S249" i="40" s="1"/>
  <c r="O249" i="40"/>
  <c r="R249" i="40" s="1"/>
  <c r="N249" i="40"/>
  <c r="Q249" i="40" s="1"/>
  <c r="P248" i="40"/>
  <c r="S248" i="40" s="1"/>
  <c r="O248" i="40"/>
  <c r="R248" i="40" s="1"/>
  <c r="N248" i="40"/>
  <c r="Q248" i="40" s="1"/>
  <c r="P247" i="40"/>
  <c r="S247" i="40" s="1"/>
  <c r="O247" i="40"/>
  <c r="R247" i="40" s="1"/>
  <c r="N247" i="40"/>
  <c r="Q247" i="40" s="1"/>
  <c r="P246" i="40"/>
  <c r="S246" i="40" s="1"/>
  <c r="O246" i="40"/>
  <c r="R246" i="40" s="1"/>
  <c r="N246" i="40"/>
  <c r="Q246" i="40" s="1"/>
  <c r="P245" i="40"/>
  <c r="S245" i="40" s="1"/>
  <c r="O245" i="40"/>
  <c r="R245" i="40" s="1"/>
  <c r="N245" i="40"/>
  <c r="Q245" i="40" s="1"/>
  <c r="P244" i="40"/>
  <c r="S244" i="40" s="1"/>
  <c r="O244" i="40"/>
  <c r="R244" i="40" s="1"/>
  <c r="N244" i="40"/>
  <c r="Q244" i="40" s="1"/>
  <c r="P243" i="40"/>
  <c r="S243" i="40" s="1"/>
  <c r="O243" i="40"/>
  <c r="R243" i="40" s="1"/>
  <c r="N243" i="40"/>
  <c r="Q243" i="40" s="1"/>
  <c r="P242" i="40"/>
  <c r="S242" i="40" s="1"/>
  <c r="O242" i="40"/>
  <c r="R242" i="40" s="1"/>
  <c r="N242" i="40"/>
  <c r="Q242" i="40" s="1"/>
  <c r="P241" i="40"/>
  <c r="S241" i="40" s="1"/>
  <c r="O241" i="40"/>
  <c r="R241" i="40" s="1"/>
  <c r="N241" i="40"/>
  <c r="Q241" i="40" s="1"/>
  <c r="P240" i="40"/>
  <c r="S240" i="40" s="1"/>
  <c r="O240" i="40"/>
  <c r="R240" i="40" s="1"/>
  <c r="N240" i="40"/>
  <c r="Q240" i="40" s="1"/>
  <c r="P239" i="40"/>
  <c r="S239" i="40" s="1"/>
  <c r="O239" i="40"/>
  <c r="R239" i="40" s="1"/>
  <c r="N239" i="40"/>
  <c r="Q239" i="40" s="1"/>
  <c r="P238" i="40"/>
  <c r="S238" i="40" s="1"/>
  <c r="O238" i="40"/>
  <c r="R238" i="40" s="1"/>
  <c r="N238" i="40"/>
  <c r="Q238" i="40" s="1"/>
  <c r="P237" i="40"/>
  <c r="S237" i="40" s="1"/>
  <c r="O237" i="40"/>
  <c r="R237" i="40" s="1"/>
  <c r="N237" i="40"/>
  <c r="Q237" i="40" s="1"/>
  <c r="P236" i="40"/>
  <c r="S236" i="40" s="1"/>
  <c r="O236" i="40"/>
  <c r="R236" i="40" s="1"/>
  <c r="N236" i="40"/>
  <c r="Q236" i="40" s="1"/>
  <c r="P235" i="40"/>
  <c r="S235" i="40" s="1"/>
  <c r="O235" i="40"/>
  <c r="R235" i="40" s="1"/>
  <c r="N235" i="40"/>
  <c r="Q235" i="40" s="1"/>
  <c r="P234" i="40"/>
  <c r="S234" i="40" s="1"/>
  <c r="O234" i="40"/>
  <c r="R234" i="40" s="1"/>
  <c r="N234" i="40"/>
  <c r="Q234" i="40" s="1"/>
  <c r="P233" i="40"/>
  <c r="S233" i="40" s="1"/>
  <c r="O233" i="40"/>
  <c r="R233" i="40" s="1"/>
  <c r="N233" i="40"/>
  <c r="Q233" i="40" s="1"/>
  <c r="P232" i="40"/>
  <c r="S232" i="40" s="1"/>
  <c r="O232" i="40"/>
  <c r="R232" i="40" s="1"/>
  <c r="N232" i="40"/>
  <c r="Q232" i="40" s="1"/>
  <c r="P231" i="40"/>
  <c r="S231" i="40" s="1"/>
  <c r="O231" i="40"/>
  <c r="R231" i="40" s="1"/>
  <c r="N231" i="40"/>
  <c r="Q231" i="40" s="1"/>
  <c r="P230" i="40"/>
  <c r="S230" i="40" s="1"/>
  <c r="O230" i="40"/>
  <c r="R230" i="40" s="1"/>
  <c r="N230" i="40"/>
  <c r="Q230" i="40" s="1"/>
  <c r="P229" i="40"/>
  <c r="S229" i="40" s="1"/>
  <c r="O229" i="40"/>
  <c r="R229" i="40" s="1"/>
  <c r="N229" i="40"/>
  <c r="Q229" i="40" s="1"/>
  <c r="P228" i="40"/>
  <c r="S228" i="40" s="1"/>
  <c r="O228" i="40"/>
  <c r="R228" i="40" s="1"/>
  <c r="N228" i="40"/>
  <c r="Q228" i="40" s="1"/>
  <c r="P227" i="40"/>
  <c r="S227" i="40" s="1"/>
  <c r="O227" i="40"/>
  <c r="R227" i="40" s="1"/>
  <c r="N227" i="40"/>
  <c r="Q227" i="40" s="1"/>
  <c r="P226" i="40"/>
  <c r="S226" i="40" s="1"/>
  <c r="O226" i="40"/>
  <c r="R226" i="40" s="1"/>
  <c r="N226" i="40"/>
  <c r="Q226" i="40" s="1"/>
  <c r="P225" i="40"/>
  <c r="S225" i="40" s="1"/>
  <c r="O225" i="40"/>
  <c r="R225" i="40" s="1"/>
  <c r="N225" i="40"/>
  <c r="Q225" i="40" s="1"/>
  <c r="P224" i="40"/>
  <c r="S224" i="40" s="1"/>
  <c r="O224" i="40"/>
  <c r="R224" i="40" s="1"/>
  <c r="N224" i="40"/>
  <c r="Q224" i="40" s="1"/>
  <c r="P223" i="40"/>
  <c r="S223" i="40" s="1"/>
  <c r="O223" i="40"/>
  <c r="R223" i="40" s="1"/>
  <c r="N223" i="40"/>
  <c r="Q223" i="40" s="1"/>
  <c r="P222" i="40"/>
  <c r="S222" i="40" s="1"/>
  <c r="O222" i="40"/>
  <c r="R222" i="40" s="1"/>
  <c r="N222" i="40"/>
  <c r="Q222" i="40" s="1"/>
  <c r="P221" i="40"/>
  <c r="S221" i="40" s="1"/>
  <c r="O221" i="40"/>
  <c r="R221" i="40" s="1"/>
  <c r="N221" i="40"/>
  <c r="Q221" i="40" s="1"/>
  <c r="P220" i="40"/>
  <c r="S220" i="40" s="1"/>
  <c r="O220" i="40"/>
  <c r="R220" i="40" s="1"/>
  <c r="N220" i="40"/>
  <c r="Q220" i="40" s="1"/>
  <c r="P219" i="40"/>
  <c r="S219" i="40" s="1"/>
  <c r="O219" i="40"/>
  <c r="R219" i="40" s="1"/>
  <c r="N219" i="40"/>
  <c r="Q219" i="40" s="1"/>
  <c r="P218" i="40"/>
  <c r="S218" i="40" s="1"/>
  <c r="O218" i="40"/>
  <c r="R218" i="40" s="1"/>
  <c r="N218" i="40"/>
  <c r="Q218" i="40" s="1"/>
  <c r="P217" i="40"/>
  <c r="S217" i="40" s="1"/>
  <c r="O217" i="40"/>
  <c r="R217" i="40" s="1"/>
  <c r="N217" i="40"/>
  <c r="Q217" i="40" s="1"/>
  <c r="P216" i="40"/>
  <c r="S216" i="40" s="1"/>
  <c r="O216" i="40"/>
  <c r="R216" i="40" s="1"/>
  <c r="N216" i="40"/>
  <c r="Q216" i="40" s="1"/>
  <c r="P215" i="40"/>
  <c r="S215" i="40" s="1"/>
  <c r="O215" i="40"/>
  <c r="R215" i="40" s="1"/>
  <c r="N215" i="40"/>
  <c r="Q215" i="40" s="1"/>
  <c r="P214" i="40"/>
  <c r="S214" i="40" s="1"/>
  <c r="O214" i="40"/>
  <c r="R214" i="40" s="1"/>
  <c r="N214" i="40"/>
  <c r="Q214" i="40" s="1"/>
  <c r="P213" i="40"/>
  <c r="S213" i="40" s="1"/>
  <c r="O213" i="40"/>
  <c r="R213" i="40" s="1"/>
  <c r="N213" i="40"/>
  <c r="Q213" i="40" s="1"/>
  <c r="P212" i="40"/>
  <c r="S212" i="40" s="1"/>
  <c r="O212" i="40"/>
  <c r="R212" i="40" s="1"/>
  <c r="N212" i="40"/>
  <c r="Q212" i="40" s="1"/>
  <c r="P211" i="40"/>
  <c r="S211" i="40" s="1"/>
  <c r="O211" i="40"/>
  <c r="R211" i="40" s="1"/>
  <c r="N211" i="40"/>
  <c r="Q211" i="40" s="1"/>
  <c r="P210" i="40"/>
  <c r="S210" i="40" s="1"/>
  <c r="O210" i="40"/>
  <c r="R210" i="40" s="1"/>
  <c r="N210" i="40"/>
  <c r="Q210" i="40" s="1"/>
  <c r="P209" i="40"/>
  <c r="S209" i="40" s="1"/>
  <c r="O209" i="40"/>
  <c r="R209" i="40" s="1"/>
  <c r="N209" i="40"/>
  <c r="Q209" i="40" s="1"/>
  <c r="P208" i="40"/>
  <c r="S208" i="40" s="1"/>
  <c r="O208" i="40"/>
  <c r="R208" i="40" s="1"/>
  <c r="N208" i="40"/>
  <c r="Q208" i="40" s="1"/>
  <c r="P207" i="40"/>
  <c r="S207" i="40" s="1"/>
  <c r="O207" i="40"/>
  <c r="R207" i="40" s="1"/>
  <c r="N207" i="40"/>
  <c r="Q207" i="40" s="1"/>
  <c r="P206" i="40"/>
  <c r="S206" i="40" s="1"/>
  <c r="O206" i="40"/>
  <c r="R206" i="40" s="1"/>
  <c r="N206" i="40"/>
  <c r="Q206" i="40" s="1"/>
  <c r="P205" i="40"/>
  <c r="S205" i="40" s="1"/>
  <c r="O205" i="40"/>
  <c r="R205" i="40" s="1"/>
  <c r="N205" i="40"/>
  <c r="Q205" i="40" s="1"/>
  <c r="P204" i="40"/>
  <c r="S204" i="40" s="1"/>
  <c r="O204" i="40"/>
  <c r="R204" i="40" s="1"/>
  <c r="N204" i="40"/>
  <c r="Q204" i="40" s="1"/>
  <c r="P203" i="40"/>
  <c r="S203" i="40" s="1"/>
  <c r="O203" i="40"/>
  <c r="R203" i="40" s="1"/>
  <c r="N203" i="40"/>
  <c r="Q203" i="40" s="1"/>
  <c r="P202" i="40"/>
  <c r="S202" i="40" s="1"/>
  <c r="O202" i="40"/>
  <c r="R202" i="40" s="1"/>
  <c r="N202" i="40"/>
  <c r="Q202" i="40" s="1"/>
  <c r="P201" i="40"/>
  <c r="S201" i="40" s="1"/>
  <c r="O201" i="40"/>
  <c r="R201" i="40" s="1"/>
  <c r="N201" i="40"/>
  <c r="Q201" i="40" s="1"/>
  <c r="P200" i="40"/>
  <c r="S200" i="40" s="1"/>
  <c r="O200" i="40"/>
  <c r="R200" i="40" s="1"/>
  <c r="N200" i="40"/>
  <c r="Q200" i="40" s="1"/>
  <c r="P199" i="40"/>
  <c r="S199" i="40" s="1"/>
  <c r="O199" i="40"/>
  <c r="R199" i="40" s="1"/>
  <c r="N199" i="40"/>
  <c r="Q199" i="40" s="1"/>
  <c r="P198" i="40"/>
  <c r="S198" i="40" s="1"/>
  <c r="O198" i="40"/>
  <c r="R198" i="40" s="1"/>
  <c r="N198" i="40"/>
  <c r="Q198" i="40" s="1"/>
  <c r="P197" i="40"/>
  <c r="S197" i="40" s="1"/>
  <c r="O197" i="40"/>
  <c r="R197" i="40" s="1"/>
  <c r="N197" i="40"/>
  <c r="Q197" i="40" s="1"/>
  <c r="P196" i="40"/>
  <c r="S196" i="40" s="1"/>
  <c r="O196" i="40"/>
  <c r="R196" i="40" s="1"/>
  <c r="N196" i="40"/>
  <c r="Q196" i="40" s="1"/>
  <c r="P195" i="40"/>
  <c r="S195" i="40" s="1"/>
  <c r="O195" i="40"/>
  <c r="R195" i="40" s="1"/>
  <c r="N195" i="40"/>
  <c r="Q195" i="40" s="1"/>
  <c r="P194" i="40"/>
  <c r="S194" i="40" s="1"/>
  <c r="O194" i="40"/>
  <c r="R194" i="40" s="1"/>
  <c r="N194" i="40"/>
  <c r="Q194" i="40" s="1"/>
  <c r="P193" i="40"/>
  <c r="S193" i="40" s="1"/>
  <c r="O193" i="40"/>
  <c r="R193" i="40" s="1"/>
  <c r="N193" i="40"/>
  <c r="Q193" i="40" s="1"/>
  <c r="P192" i="40"/>
  <c r="S192" i="40" s="1"/>
  <c r="O192" i="40"/>
  <c r="R192" i="40" s="1"/>
  <c r="N192" i="40"/>
  <c r="Q192" i="40" s="1"/>
  <c r="P191" i="40"/>
  <c r="S191" i="40" s="1"/>
  <c r="O191" i="40"/>
  <c r="R191" i="40" s="1"/>
  <c r="N191" i="40"/>
  <c r="Q191" i="40" s="1"/>
  <c r="P190" i="40"/>
  <c r="S190" i="40" s="1"/>
  <c r="O190" i="40"/>
  <c r="R190" i="40" s="1"/>
  <c r="N190" i="40"/>
  <c r="Q190" i="40" s="1"/>
  <c r="P189" i="40"/>
  <c r="S189" i="40" s="1"/>
  <c r="O189" i="40"/>
  <c r="R189" i="40" s="1"/>
  <c r="N189" i="40"/>
  <c r="Q189" i="40" s="1"/>
  <c r="P188" i="40"/>
  <c r="S188" i="40" s="1"/>
  <c r="O188" i="40"/>
  <c r="R188" i="40" s="1"/>
  <c r="N188" i="40"/>
  <c r="Q188" i="40" s="1"/>
  <c r="P187" i="40"/>
  <c r="S187" i="40" s="1"/>
  <c r="O187" i="40"/>
  <c r="R187" i="40" s="1"/>
  <c r="N187" i="40"/>
  <c r="Q187" i="40" s="1"/>
  <c r="P186" i="40"/>
  <c r="S186" i="40" s="1"/>
  <c r="O186" i="40"/>
  <c r="R186" i="40" s="1"/>
  <c r="N186" i="40"/>
  <c r="Q186" i="40" s="1"/>
  <c r="P185" i="40"/>
  <c r="S185" i="40" s="1"/>
  <c r="O185" i="40"/>
  <c r="R185" i="40" s="1"/>
  <c r="N185" i="40"/>
  <c r="Q185" i="40" s="1"/>
  <c r="P184" i="40"/>
  <c r="S184" i="40" s="1"/>
  <c r="O184" i="40"/>
  <c r="R184" i="40" s="1"/>
  <c r="N184" i="40"/>
  <c r="Q184" i="40" s="1"/>
  <c r="P183" i="40"/>
  <c r="S183" i="40" s="1"/>
  <c r="O183" i="40"/>
  <c r="R183" i="40" s="1"/>
  <c r="N183" i="40"/>
  <c r="Q183" i="40" s="1"/>
  <c r="P182" i="40"/>
  <c r="S182" i="40" s="1"/>
  <c r="O182" i="40"/>
  <c r="R182" i="40" s="1"/>
  <c r="N182" i="40"/>
  <c r="Q182" i="40" s="1"/>
  <c r="P181" i="40"/>
  <c r="S181" i="40" s="1"/>
  <c r="O181" i="40"/>
  <c r="R181" i="40" s="1"/>
  <c r="N181" i="40"/>
  <c r="Q181" i="40" s="1"/>
  <c r="P180" i="40"/>
  <c r="S180" i="40" s="1"/>
  <c r="O180" i="40"/>
  <c r="R180" i="40" s="1"/>
  <c r="N180" i="40"/>
  <c r="Q180" i="40" s="1"/>
  <c r="P179" i="40"/>
  <c r="S179" i="40" s="1"/>
  <c r="O179" i="40"/>
  <c r="R179" i="40" s="1"/>
  <c r="N179" i="40"/>
  <c r="Q179" i="40" s="1"/>
  <c r="P178" i="40"/>
  <c r="S178" i="40" s="1"/>
  <c r="O178" i="40"/>
  <c r="R178" i="40" s="1"/>
  <c r="N178" i="40"/>
  <c r="Q178" i="40" s="1"/>
  <c r="P177" i="40"/>
  <c r="S177" i="40" s="1"/>
  <c r="O177" i="40"/>
  <c r="R177" i="40" s="1"/>
  <c r="N177" i="40"/>
  <c r="Q177" i="40" s="1"/>
  <c r="P176" i="40"/>
  <c r="S176" i="40" s="1"/>
  <c r="O176" i="40"/>
  <c r="R176" i="40" s="1"/>
  <c r="N176" i="40"/>
  <c r="Q176" i="40" s="1"/>
  <c r="P175" i="40"/>
  <c r="S175" i="40" s="1"/>
  <c r="O175" i="40"/>
  <c r="R175" i="40" s="1"/>
  <c r="N175" i="40"/>
  <c r="Q175" i="40" s="1"/>
  <c r="P174" i="40"/>
  <c r="S174" i="40" s="1"/>
  <c r="O174" i="40"/>
  <c r="R174" i="40" s="1"/>
  <c r="N174" i="40"/>
  <c r="Q174" i="40" s="1"/>
  <c r="P173" i="40"/>
  <c r="S173" i="40" s="1"/>
  <c r="O173" i="40"/>
  <c r="R173" i="40" s="1"/>
  <c r="N173" i="40"/>
  <c r="Q173" i="40" s="1"/>
  <c r="P172" i="40"/>
  <c r="S172" i="40" s="1"/>
  <c r="O172" i="40"/>
  <c r="R172" i="40" s="1"/>
  <c r="N172" i="40"/>
  <c r="Q172" i="40" s="1"/>
  <c r="P171" i="40"/>
  <c r="S171" i="40" s="1"/>
  <c r="O171" i="40"/>
  <c r="R171" i="40" s="1"/>
  <c r="N171" i="40"/>
  <c r="Q171" i="40" s="1"/>
  <c r="P170" i="40"/>
  <c r="S170" i="40" s="1"/>
  <c r="O170" i="40"/>
  <c r="R170" i="40" s="1"/>
  <c r="N170" i="40"/>
  <c r="Q170" i="40" s="1"/>
  <c r="P169" i="40"/>
  <c r="S169" i="40" s="1"/>
  <c r="O169" i="40"/>
  <c r="R169" i="40" s="1"/>
  <c r="N169" i="40"/>
  <c r="Q169" i="40" s="1"/>
  <c r="P168" i="40"/>
  <c r="S168" i="40" s="1"/>
  <c r="O168" i="40"/>
  <c r="R168" i="40" s="1"/>
  <c r="N168" i="40"/>
  <c r="Q168" i="40" s="1"/>
  <c r="P167" i="40"/>
  <c r="S167" i="40" s="1"/>
  <c r="O167" i="40"/>
  <c r="R167" i="40" s="1"/>
  <c r="N167" i="40"/>
  <c r="Q167" i="40" s="1"/>
  <c r="P166" i="40"/>
  <c r="S166" i="40" s="1"/>
  <c r="O166" i="40"/>
  <c r="R166" i="40" s="1"/>
  <c r="N166" i="40"/>
  <c r="Q166" i="40" s="1"/>
  <c r="P165" i="40"/>
  <c r="S165" i="40" s="1"/>
  <c r="O165" i="40"/>
  <c r="R165" i="40" s="1"/>
  <c r="N165" i="40"/>
  <c r="Q165" i="40" s="1"/>
  <c r="P164" i="40"/>
  <c r="S164" i="40" s="1"/>
  <c r="O164" i="40"/>
  <c r="R164" i="40" s="1"/>
  <c r="N164" i="40"/>
  <c r="Q164" i="40" s="1"/>
  <c r="P163" i="40"/>
  <c r="S163" i="40" s="1"/>
  <c r="O163" i="40"/>
  <c r="R163" i="40" s="1"/>
  <c r="N163" i="40"/>
  <c r="Q163" i="40" s="1"/>
  <c r="P162" i="40"/>
  <c r="S162" i="40" s="1"/>
  <c r="O162" i="40"/>
  <c r="R162" i="40" s="1"/>
  <c r="N162" i="40"/>
  <c r="Q162" i="40" s="1"/>
  <c r="P161" i="40"/>
  <c r="S161" i="40" s="1"/>
  <c r="O161" i="40"/>
  <c r="R161" i="40" s="1"/>
  <c r="N161" i="40"/>
  <c r="Q161" i="40" s="1"/>
  <c r="P160" i="40"/>
  <c r="S160" i="40" s="1"/>
  <c r="O160" i="40"/>
  <c r="R160" i="40" s="1"/>
  <c r="N160" i="40"/>
  <c r="Q160" i="40" s="1"/>
  <c r="P159" i="40"/>
  <c r="S159" i="40" s="1"/>
  <c r="O159" i="40"/>
  <c r="R159" i="40" s="1"/>
  <c r="N159" i="40"/>
  <c r="Q159" i="40" s="1"/>
  <c r="P158" i="40"/>
  <c r="S158" i="40" s="1"/>
  <c r="O158" i="40"/>
  <c r="R158" i="40" s="1"/>
  <c r="N158" i="40"/>
  <c r="Q158" i="40" s="1"/>
  <c r="P157" i="40"/>
  <c r="S157" i="40" s="1"/>
  <c r="O157" i="40"/>
  <c r="R157" i="40" s="1"/>
  <c r="N157" i="40"/>
  <c r="Q157" i="40" s="1"/>
  <c r="P156" i="40"/>
  <c r="S156" i="40" s="1"/>
  <c r="O156" i="40"/>
  <c r="R156" i="40" s="1"/>
  <c r="N156" i="40"/>
  <c r="Q156" i="40" s="1"/>
  <c r="P155" i="40"/>
  <c r="S155" i="40" s="1"/>
  <c r="O155" i="40"/>
  <c r="R155" i="40" s="1"/>
  <c r="N155" i="40"/>
  <c r="Q155" i="40" s="1"/>
  <c r="P154" i="40"/>
  <c r="S154" i="40" s="1"/>
  <c r="O154" i="40"/>
  <c r="R154" i="40" s="1"/>
  <c r="N154" i="40"/>
  <c r="Q154" i="40" s="1"/>
  <c r="P153" i="40"/>
  <c r="S153" i="40" s="1"/>
  <c r="O153" i="40"/>
  <c r="R153" i="40" s="1"/>
  <c r="N153" i="40"/>
  <c r="Q153" i="40" s="1"/>
  <c r="P152" i="40"/>
  <c r="S152" i="40" s="1"/>
  <c r="O152" i="40"/>
  <c r="R152" i="40" s="1"/>
  <c r="N152" i="40"/>
  <c r="Q152" i="40" s="1"/>
  <c r="P151" i="40"/>
  <c r="S151" i="40" s="1"/>
  <c r="O151" i="40"/>
  <c r="R151" i="40" s="1"/>
  <c r="N151" i="40"/>
  <c r="Q151" i="40" s="1"/>
  <c r="P150" i="40"/>
  <c r="S150" i="40" s="1"/>
  <c r="O150" i="40"/>
  <c r="R150" i="40" s="1"/>
  <c r="N150" i="40"/>
  <c r="Q150" i="40" s="1"/>
  <c r="P149" i="40"/>
  <c r="S149" i="40" s="1"/>
  <c r="O149" i="40"/>
  <c r="R149" i="40" s="1"/>
  <c r="N149" i="40"/>
  <c r="Q149" i="40" s="1"/>
  <c r="P148" i="40"/>
  <c r="S148" i="40" s="1"/>
  <c r="O148" i="40"/>
  <c r="R148" i="40" s="1"/>
  <c r="N148" i="40"/>
  <c r="Q148" i="40" s="1"/>
  <c r="P147" i="40"/>
  <c r="S147" i="40" s="1"/>
  <c r="O147" i="40"/>
  <c r="R147" i="40" s="1"/>
  <c r="N147" i="40"/>
  <c r="Q147" i="40" s="1"/>
  <c r="P146" i="40"/>
  <c r="S146" i="40" s="1"/>
  <c r="O146" i="40"/>
  <c r="R146" i="40" s="1"/>
  <c r="N146" i="40"/>
  <c r="Q146" i="40" s="1"/>
  <c r="P145" i="40"/>
  <c r="S145" i="40" s="1"/>
  <c r="O145" i="40"/>
  <c r="R145" i="40" s="1"/>
  <c r="N145" i="40"/>
  <c r="Q145" i="40" s="1"/>
  <c r="P144" i="40"/>
  <c r="S144" i="40" s="1"/>
  <c r="O144" i="40"/>
  <c r="R144" i="40" s="1"/>
  <c r="N144" i="40"/>
  <c r="Q144" i="40" s="1"/>
  <c r="P143" i="40"/>
  <c r="S143" i="40" s="1"/>
  <c r="O143" i="40"/>
  <c r="R143" i="40" s="1"/>
  <c r="N143" i="40"/>
  <c r="Q143" i="40" s="1"/>
  <c r="P142" i="40"/>
  <c r="S142" i="40" s="1"/>
  <c r="O142" i="40"/>
  <c r="R142" i="40" s="1"/>
  <c r="N142" i="40"/>
  <c r="Q142" i="40" s="1"/>
  <c r="P141" i="40"/>
  <c r="S141" i="40" s="1"/>
  <c r="O141" i="40"/>
  <c r="R141" i="40" s="1"/>
  <c r="N141" i="40"/>
  <c r="Q141" i="40" s="1"/>
  <c r="P140" i="40"/>
  <c r="S140" i="40" s="1"/>
  <c r="O140" i="40"/>
  <c r="R140" i="40" s="1"/>
  <c r="N140" i="40"/>
  <c r="Q140" i="40" s="1"/>
  <c r="P139" i="40"/>
  <c r="S139" i="40" s="1"/>
  <c r="O139" i="40"/>
  <c r="R139" i="40" s="1"/>
  <c r="N139" i="40"/>
  <c r="Q139" i="40" s="1"/>
  <c r="P138" i="40"/>
  <c r="S138" i="40" s="1"/>
  <c r="O138" i="40"/>
  <c r="R138" i="40" s="1"/>
  <c r="N138" i="40"/>
  <c r="Q138" i="40" s="1"/>
  <c r="P137" i="40"/>
  <c r="S137" i="40" s="1"/>
  <c r="O137" i="40"/>
  <c r="R137" i="40" s="1"/>
  <c r="N137" i="40"/>
  <c r="Q137" i="40" s="1"/>
  <c r="P136" i="40"/>
  <c r="S136" i="40" s="1"/>
  <c r="O136" i="40"/>
  <c r="R136" i="40" s="1"/>
  <c r="N136" i="40"/>
  <c r="Q136" i="40" s="1"/>
  <c r="P135" i="40"/>
  <c r="S135" i="40" s="1"/>
  <c r="O135" i="40"/>
  <c r="R135" i="40" s="1"/>
  <c r="N135" i="40"/>
  <c r="Q135" i="40" s="1"/>
  <c r="P134" i="40"/>
  <c r="S134" i="40" s="1"/>
  <c r="O134" i="40"/>
  <c r="R134" i="40" s="1"/>
  <c r="N134" i="40"/>
  <c r="Q134" i="40" s="1"/>
  <c r="P133" i="40"/>
  <c r="S133" i="40" s="1"/>
  <c r="O133" i="40"/>
  <c r="R133" i="40" s="1"/>
  <c r="N133" i="40"/>
  <c r="Q133" i="40" s="1"/>
  <c r="P132" i="40"/>
  <c r="S132" i="40" s="1"/>
  <c r="O132" i="40"/>
  <c r="R132" i="40" s="1"/>
  <c r="N132" i="40"/>
  <c r="Q132" i="40" s="1"/>
  <c r="P131" i="40"/>
  <c r="S131" i="40" s="1"/>
  <c r="O131" i="40"/>
  <c r="R131" i="40" s="1"/>
  <c r="N131" i="40"/>
  <c r="Q131" i="40" s="1"/>
  <c r="P130" i="40"/>
  <c r="S130" i="40" s="1"/>
  <c r="O130" i="40"/>
  <c r="R130" i="40" s="1"/>
  <c r="N130" i="40"/>
  <c r="Q130" i="40" s="1"/>
  <c r="P129" i="40"/>
  <c r="S129" i="40" s="1"/>
  <c r="O129" i="40"/>
  <c r="R129" i="40" s="1"/>
  <c r="N129" i="40"/>
  <c r="Q129" i="40" s="1"/>
  <c r="P128" i="40"/>
  <c r="S128" i="40" s="1"/>
  <c r="O128" i="40"/>
  <c r="R128" i="40" s="1"/>
  <c r="N128" i="40"/>
  <c r="Q128" i="40" s="1"/>
  <c r="P127" i="40"/>
  <c r="S127" i="40" s="1"/>
  <c r="O127" i="40"/>
  <c r="R127" i="40" s="1"/>
  <c r="N127" i="40"/>
  <c r="Q127" i="40" s="1"/>
  <c r="P126" i="40"/>
  <c r="S126" i="40" s="1"/>
  <c r="O126" i="40"/>
  <c r="R126" i="40" s="1"/>
  <c r="N126" i="40"/>
  <c r="Q126" i="40" s="1"/>
  <c r="P125" i="40"/>
  <c r="S125" i="40" s="1"/>
  <c r="O125" i="40"/>
  <c r="R125" i="40" s="1"/>
  <c r="N125" i="40"/>
  <c r="Q125" i="40" s="1"/>
  <c r="P124" i="40"/>
  <c r="S124" i="40" s="1"/>
  <c r="O124" i="40"/>
  <c r="R124" i="40" s="1"/>
  <c r="N124" i="40"/>
  <c r="Q124" i="40" s="1"/>
  <c r="P123" i="40"/>
  <c r="S123" i="40" s="1"/>
  <c r="O123" i="40"/>
  <c r="R123" i="40" s="1"/>
  <c r="N123" i="40"/>
  <c r="Q123" i="40" s="1"/>
  <c r="P122" i="40"/>
  <c r="S122" i="40" s="1"/>
  <c r="O122" i="40"/>
  <c r="R122" i="40" s="1"/>
  <c r="N122" i="40"/>
  <c r="Q122" i="40" s="1"/>
  <c r="P121" i="40"/>
  <c r="S121" i="40" s="1"/>
  <c r="O121" i="40"/>
  <c r="R121" i="40" s="1"/>
  <c r="N121" i="40"/>
  <c r="Q121" i="40" s="1"/>
  <c r="P120" i="40"/>
  <c r="S120" i="40" s="1"/>
  <c r="O120" i="40"/>
  <c r="R120" i="40" s="1"/>
  <c r="N120" i="40"/>
  <c r="Q120" i="40" s="1"/>
  <c r="P119" i="40"/>
  <c r="S119" i="40" s="1"/>
  <c r="O119" i="40"/>
  <c r="R119" i="40" s="1"/>
  <c r="N119" i="40"/>
  <c r="Q119" i="40" s="1"/>
  <c r="P118" i="40"/>
  <c r="S118" i="40" s="1"/>
  <c r="O118" i="40"/>
  <c r="R118" i="40" s="1"/>
  <c r="N118" i="40"/>
  <c r="Q118" i="40" s="1"/>
  <c r="P117" i="40"/>
  <c r="S117" i="40" s="1"/>
  <c r="O117" i="40"/>
  <c r="R117" i="40" s="1"/>
  <c r="N117" i="40"/>
  <c r="Q117" i="40" s="1"/>
  <c r="P116" i="40"/>
  <c r="S116" i="40" s="1"/>
  <c r="O116" i="40"/>
  <c r="R116" i="40" s="1"/>
  <c r="N116" i="40"/>
  <c r="Q116" i="40" s="1"/>
  <c r="P115" i="40"/>
  <c r="S115" i="40" s="1"/>
  <c r="O115" i="40"/>
  <c r="R115" i="40" s="1"/>
  <c r="N115" i="40"/>
  <c r="Q115" i="40" s="1"/>
  <c r="P114" i="40"/>
  <c r="S114" i="40" s="1"/>
  <c r="O114" i="40"/>
  <c r="R114" i="40" s="1"/>
  <c r="N114" i="40"/>
  <c r="Q114" i="40" s="1"/>
  <c r="P113" i="40"/>
  <c r="S113" i="40" s="1"/>
  <c r="O113" i="40"/>
  <c r="R113" i="40" s="1"/>
  <c r="N113" i="40"/>
  <c r="Q113" i="40" s="1"/>
  <c r="P112" i="40"/>
  <c r="S112" i="40" s="1"/>
  <c r="O112" i="40"/>
  <c r="R112" i="40" s="1"/>
  <c r="N112" i="40"/>
  <c r="Q112" i="40" s="1"/>
  <c r="P111" i="40"/>
  <c r="S111" i="40" s="1"/>
  <c r="O111" i="40"/>
  <c r="R111" i="40" s="1"/>
  <c r="N111" i="40"/>
  <c r="Q111" i="40" s="1"/>
  <c r="P110" i="40"/>
  <c r="S110" i="40" s="1"/>
  <c r="O110" i="40"/>
  <c r="R110" i="40" s="1"/>
  <c r="N110" i="40"/>
  <c r="Q110" i="40" s="1"/>
  <c r="P109" i="40"/>
  <c r="S109" i="40" s="1"/>
  <c r="O109" i="40"/>
  <c r="R109" i="40" s="1"/>
  <c r="N109" i="40"/>
  <c r="Q109" i="40" s="1"/>
  <c r="P108" i="40"/>
  <c r="S108" i="40" s="1"/>
  <c r="O108" i="40"/>
  <c r="R108" i="40" s="1"/>
  <c r="N108" i="40"/>
  <c r="Q108" i="40" s="1"/>
  <c r="P107" i="40"/>
  <c r="S107" i="40" s="1"/>
  <c r="O107" i="40"/>
  <c r="R107" i="40" s="1"/>
  <c r="N107" i="40"/>
  <c r="Q107" i="40" s="1"/>
  <c r="P106" i="40"/>
  <c r="S106" i="40" s="1"/>
  <c r="O106" i="40"/>
  <c r="R106" i="40" s="1"/>
  <c r="N106" i="40"/>
  <c r="Q106" i="40" s="1"/>
  <c r="P105" i="40"/>
  <c r="S105" i="40" s="1"/>
  <c r="O105" i="40"/>
  <c r="R105" i="40" s="1"/>
  <c r="N105" i="40"/>
  <c r="Q105" i="40" s="1"/>
  <c r="P104" i="40"/>
  <c r="S104" i="40" s="1"/>
  <c r="O104" i="40"/>
  <c r="R104" i="40" s="1"/>
  <c r="N104" i="40"/>
  <c r="Q104" i="40" s="1"/>
  <c r="P103" i="40"/>
  <c r="S103" i="40" s="1"/>
  <c r="O103" i="40"/>
  <c r="R103" i="40" s="1"/>
  <c r="N103" i="40"/>
  <c r="Q103" i="40" s="1"/>
  <c r="P102" i="40"/>
  <c r="S102" i="40" s="1"/>
  <c r="O102" i="40"/>
  <c r="R102" i="40" s="1"/>
  <c r="N102" i="40"/>
  <c r="Q102" i="40" s="1"/>
  <c r="P101" i="40"/>
  <c r="S101" i="40" s="1"/>
  <c r="O101" i="40"/>
  <c r="R101" i="40" s="1"/>
  <c r="N101" i="40"/>
  <c r="Q101" i="40" s="1"/>
  <c r="P100" i="40"/>
  <c r="S100" i="40" s="1"/>
  <c r="O100" i="40"/>
  <c r="R100" i="40" s="1"/>
  <c r="N100" i="40"/>
  <c r="Q100" i="40" s="1"/>
  <c r="P99" i="40"/>
  <c r="S99" i="40" s="1"/>
  <c r="O99" i="40"/>
  <c r="R99" i="40" s="1"/>
  <c r="N99" i="40"/>
  <c r="Q99" i="40" s="1"/>
  <c r="P98" i="40"/>
  <c r="S98" i="40" s="1"/>
  <c r="O98" i="40"/>
  <c r="R98" i="40" s="1"/>
  <c r="N98" i="40"/>
  <c r="Q98" i="40" s="1"/>
  <c r="P97" i="40"/>
  <c r="S97" i="40" s="1"/>
  <c r="O97" i="40"/>
  <c r="R97" i="40" s="1"/>
  <c r="N97" i="40"/>
  <c r="Q97" i="40" s="1"/>
  <c r="P96" i="40"/>
  <c r="S96" i="40" s="1"/>
  <c r="O96" i="40"/>
  <c r="R96" i="40" s="1"/>
  <c r="N96" i="40"/>
  <c r="Q96" i="40" s="1"/>
  <c r="P95" i="40"/>
  <c r="S95" i="40" s="1"/>
  <c r="O95" i="40"/>
  <c r="R95" i="40" s="1"/>
  <c r="N95" i="40"/>
  <c r="Q95" i="40" s="1"/>
  <c r="P94" i="40"/>
  <c r="S94" i="40" s="1"/>
  <c r="O94" i="40"/>
  <c r="R94" i="40" s="1"/>
  <c r="N94" i="40"/>
  <c r="Q94" i="40" s="1"/>
  <c r="P93" i="40"/>
  <c r="S93" i="40" s="1"/>
  <c r="O93" i="40"/>
  <c r="R93" i="40" s="1"/>
  <c r="N93" i="40"/>
  <c r="Q93" i="40" s="1"/>
  <c r="P92" i="40"/>
  <c r="S92" i="40" s="1"/>
  <c r="O92" i="40"/>
  <c r="R92" i="40" s="1"/>
  <c r="N92" i="40"/>
  <c r="Q92" i="40" s="1"/>
  <c r="P91" i="40"/>
  <c r="S91" i="40" s="1"/>
  <c r="O91" i="40"/>
  <c r="R91" i="40" s="1"/>
  <c r="N91" i="40"/>
  <c r="Q91" i="40" s="1"/>
  <c r="P90" i="40"/>
  <c r="S90" i="40" s="1"/>
  <c r="O90" i="40"/>
  <c r="R90" i="40" s="1"/>
  <c r="N90" i="40"/>
  <c r="Q90" i="40" s="1"/>
  <c r="P89" i="40"/>
  <c r="S89" i="40" s="1"/>
  <c r="O89" i="40"/>
  <c r="R89" i="40" s="1"/>
  <c r="N89" i="40"/>
  <c r="Q89" i="40" s="1"/>
  <c r="P88" i="40"/>
  <c r="S88" i="40" s="1"/>
  <c r="O88" i="40"/>
  <c r="R88" i="40" s="1"/>
  <c r="N88" i="40"/>
  <c r="Q88" i="40" s="1"/>
  <c r="P87" i="40"/>
  <c r="S87" i="40" s="1"/>
  <c r="O87" i="40"/>
  <c r="R87" i="40" s="1"/>
  <c r="N87" i="40"/>
  <c r="Q87" i="40" s="1"/>
  <c r="P86" i="40"/>
  <c r="S86" i="40" s="1"/>
  <c r="O86" i="40"/>
  <c r="R86" i="40" s="1"/>
  <c r="N86" i="40"/>
  <c r="Q86" i="40" s="1"/>
  <c r="P85" i="40"/>
  <c r="S85" i="40" s="1"/>
  <c r="O85" i="40"/>
  <c r="R85" i="40" s="1"/>
  <c r="N85" i="40"/>
  <c r="Q85" i="40" s="1"/>
  <c r="P84" i="40"/>
  <c r="S84" i="40" s="1"/>
  <c r="O84" i="40"/>
  <c r="R84" i="40" s="1"/>
  <c r="N84" i="40"/>
  <c r="Q84" i="40" s="1"/>
  <c r="P83" i="40"/>
  <c r="S83" i="40" s="1"/>
  <c r="O83" i="40"/>
  <c r="R83" i="40" s="1"/>
  <c r="N83" i="40"/>
  <c r="Q83" i="40" s="1"/>
  <c r="P82" i="40"/>
  <c r="S82" i="40" s="1"/>
  <c r="O82" i="40"/>
  <c r="R82" i="40" s="1"/>
  <c r="N82" i="40"/>
  <c r="Q82" i="40" s="1"/>
  <c r="P81" i="40"/>
  <c r="S81" i="40" s="1"/>
  <c r="O81" i="40"/>
  <c r="R81" i="40" s="1"/>
  <c r="N81" i="40"/>
  <c r="Q81" i="40" s="1"/>
  <c r="P80" i="40"/>
  <c r="S80" i="40" s="1"/>
  <c r="O80" i="40"/>
  <c r="R80" i="40" s="1"/>
  <c r="N80" i="40"/>
  <c r="Q80" i="40" s="1"/>
  <c r="P79" i="40"/>
  <c r="S79" i="40" s="1"/>
  <c r="O79" i="40"/>
  <c r="R79" i="40" s="1"/>
  <c r="N79" i="40"/>
  <c r="Q79" i="40" s="1"/>
  <c r="P78" i="40"/>
  <c r="S78" i="40" s="1"/>
  <c r="O78" i="40"/>
  <c r="R78" i="40" s="1"/>
  <c r="N78" i="40"/>
  <c r="Q78" i="40" s="1"/>
  <c r="P77" i="40"/>
  <c r="S77" i="40" s="1"/>
  <c r="O77" i="40"/>
  <c r="R77" i="40" s="1"/>
  <c r="N77" i="40"/>
  <c r="Q77" i="40" s="1"/>
  <c r="P76" i="40"/>
  <c r="S76" i="40" s="1"/>
  <c r="O76" i="40"/>
  <c r="R76" i="40" s="1"/>
  <c r="N76" i="40"/>
  <c r="Q76" i="40" s="1"/>
  <c r="P75" i="40"/>
  <c r="S75" i="40" s="1"/>
  <c r="O75" i="40"/>
  <c r="R75" i="40" s="1"/>
  <c r="N75" i="40"/>
  <c r="Q75" i="40" s="1"/>
  <c r="P74" i="40"/>
  <c r="S74" i="40" s="1"/>
  <c r="O74" i="40"/>
  <c r="R74" i="40" s="1"/>
  <c r="N74" i="40"/>
  <c r="Q74" i="40" s="1"/>
  <c r="P73" i="40"/>
  <c r="S73" i="40" s="1"/>
  <c r="O73" i="40"/>
  <c r="R73" i="40" s="1"/>
  <c r="N73" i="40"/>
  <c r="Q73" i="40" s="1"/>
  <c r="P72" i="40"/>
  <c r="S72" i="40" s="1"/>
  <c r="O72" i="40"/>
  <c r="R72" i="40" s="1"/>
  <c r="N72" i="40"/>
  <c r="Q72" i="40" s="1"/>
  <c r="P71" i="40"/>
  <c r="S71" i="40" s="1"/>
  <c r="O71" i="40"/>
  <c r="R71" i="40" s="1"/>
  <c r="N71" i="40"/>
  <c r="Q71" i="40" s="1"/>
  <c r="P70" i="40"/>
  <c r="S70" i="40" s="1"/>
  <c r="O70" i="40"/>
  <c r="R70" i="40" s="1"/>
  <c r="N70" i="40"/>
  <c r="Q70" i="40" s="1"/>
  <c r="P69" i="40"/>
  <c r="S69" i="40" s="1"/>
  <c r="O69" i="40"/>
  <c r="R69" i="40" s="1"/>
  <c r="N69" i="40"/>
  <c r="Q69" i="40" s="1"/>
  <c r="P68" i="40"/>
  <c r="S68" i="40" s="1"/>
  <c r="O68" i="40"/>
  <c r="R68" i="40" s="1"/>
  <c r="N68" i="40"/>
  <c r="Q68" i="40" s="1"/>
  <c r="P67" i="40"/>
  <c r="S67" i="40" s="1"/>
  <c r="O67" i="40"/>
  <c r="R67" i="40" s="1"/>
  <c r="N67" i="40"/>
  <c r="Q67" i="40" s="1"/>
  <c r="P66" i="40"/>
  <c r="S66" i="40" s="1"/>
  <c r="O66" i="40"/>
  <c r="R66" i="40" s="1"/>
  <c r="N66" i="40"/>
  <c r="Q66" i="40" s="1"/>
  <c r="P65" i="40"/>
  <c r="S65" i="40" s="1"/>
  <c r="O65" i="40"/>
  <c r="R65" i="40" s="1"/>
  <c r="N65" i="40"/>
  <c r="Q65" i="40" s="1"/>
  <c r="P64" i="40"/>
  <c r="S64" i="40" s="1"/>
  <c r="O64" i="40"/>
  <c r="R64" i="40" s="1"/>
  <c r="N64" i="40"/>
  <c r="Q64" i="40" s="1"/>
  <c r="P63" i="40"/>
  <c r="S63" i="40" s="1"/>
  <c r="O63" i="40"/>
  <c r="R63" i="40" s="1"/>
  <c r="N63" i="40"/>
  <c r="Q63" i="40" s="1"/>
  <c r="P62" i="40"/>
  <c r="S62" i="40" s="1"/>
  <c r="O62" i="40"/>
  <c r="R62" i="40" s="1"/>
  <c r="N62" i="40"/>
  <c r="Q62" i="40" s="1"/>
  <c r="P61" i="40"/>
  <c r="S61" i="40" s="1"/>
  <c r="O61" i="40"/>
  <c r="R61" i="40" s="1"/>
  <c r="N61" i="40"/>
  <c r="Q61" i="40" s="1"/>
  <c r="P60" i="40"/>
  <c r="S60" i="40" s="1"/>
  <c r="O60" i="40"/>
  <c r="R60" i="40" s="1"/>
  <c r="N60" i="40"/>
  <c r="Q60" i="40" s="1"/>
  <c r="P59" i="40"/>
  <c r="S59" i="40" s="1"/>
  <c r="O59" i="40"/>
  <c r="R59" i="40" s="1"/>
  <c r="N59" i="40"/>
  <c r="Q59" i="40" s="1"/>
  <c r="P58" i="40"/>
  <c r="S58" i="40" s="1"/>
  <c r="O58" i="40"/>
  <c r="R58" i="40" s="1"/>
  <c r="N58" i="40"/>
  <c r="Q58" i="40" s="1"/>
  <c r="P57" i="40"/>
  <c r="S57" i="40" s="1"/>
  <c r="O57" i="40"/>
  <c r="R57" i="40" s="1"/>
  <c r="N57" i="40"/>
  <c r="Q57" i="40" s="1"/>
  <c r="P56" i="40"/>
  <c r="S56" i="40" s="1"/>
  <c r="O56" i="40"/>
  <c r="R56" i="40" s="1"/>
  <c r="N56" i="40"/>
  <c r="Q56" i="40" s="1"/>
  <c r="P55" i="40"/>
  <c r="S55" i="40" s="1"/>
  <c r="O55" i="40"/>
  <c r="R55" i="40" s="1"/>
  <c r="N55" i="40"/>
  <c r="Q55" i="40" s="1"/>
  <c r="P54" i="40"/>
  <c r="S54" i="40" s="1"/>
  <c r="O54" i="40"/>
  <c r="R54" i="40" s="1"/>
  <c r="N54" i="40"/>
  <c r="Q54" i="40" s="1"/>
  <c r="P53" i="40"/>
  <c r="S53" i="40" s="1"/>
  <c r="O53" i="40"/>
  <c r="R53" i="40" s="1"/>
  <c r="N53" i="40"/>
  <c r="Q53" i="40" s="1"/>
  <c r="P52" i="40"/>
  <c r="S52" i="40" s="1"/>
  <c r="O52" i="40"/>
  <c r="R52" i="40" s="1"/>
  <c r="N52" i="40"/>
  <c r="Q52" i="40" s="1"/>
  <c r="P51" i="40"/>
  <c r="S51" i="40" s="1"/>
  <c r="O51" i="40"/>
  <c r="R51" i="40" s="1"/>
  <c r="N51" i="40"/>
  <c r="Q51" i="40" s="1"/>
  <c r="P50" i="40"/>
  <c r="S50" i="40" s="1"/>
  <c r="O50" i="40"/>
  <c r="R50" i="40" s="1"/>
  <c r="N50" i="40"/>
  <c r="Q50" i="40" s="1"/>
  <c r="P49" i="40"/>
  <c r="S49" i="40" s="1"/>
  <c r="O49" i="40"/>
  <c r="R49" i="40" s="1"/>
  <c r="N49" i="40"/>
  <c r="Q49" i="40" s="1"/>
  <c r="P48" i="40"/>
  <c r="S48" i="40" s="1"/>
  <c r="O48" i="40"/>
  <c r="R48" i="40" s="1"/>
  <c r="N48" i="40"/>
  <c r="Q48" i="40" s="1"/>
  <c r="P47" i="40"/>
  <c r="S47" i="40" s="1"/>
  <c r="O47" i="40"/>
  <c r="R47" i="40" s="1"/>
  <c r="N47" i="40"/>
  <c r="Q47" i="40" s="1"/>
  <c r="P46" i="40"/>
  <c r="S46" i="40" s="1"/>
  <c r="O46" i="40"/>
  <c r="R46" i="40" s="1"/>
  <c r="N46" i="40"/>
  <c r="Q46" i="40" s="1"/>
  <c r="P45" i="40"/>
  <c r="S45" i="40" s="1"/>
  <c r="O45" i="40"/>
  <c r="R45" i="40" s="1"/>
  <c r="N45" i="40"/>
  <c r="Q45" i="40" s="1"/>
  <c r="P44" i="40"/>
  <c r="S44" i="40" s="1"/>
  <c r="O44" i="40"/>
  <c r="R44" i="40" s="1"/>
  <c r="N44" i="40"/>
  <c r="Q44" i="40" s="1"/>
  <c r="P43" i="40"/>
  <c r="S43" i="40" s="1"/>
  <c r="O43" i="40"/>
  <c r="R43" i="40" s="1"/>
  <c r="N43" i="40"/>
  <c r="Q43" i="40" s="1"/>
  <c r="P42" i="40"/>
  <c r="S42" i="40" s="1"/>
  <c r="O42" i="40"/>
  <c r="R42" i="40" s="1"/>
  <c r="N42" i="40"/>
  <c r="Q42" i="40" s="1"/>
  <c r="P41" i="40"/>
  <c r="S41" i="40" s="1"/>
  <c r="O41" i="40"/>
  <c r="R41" i="40" s="1"/>
  <c r="N41" i="40"/>
  <c r="Q41" i="40" s="1"/>
  <c r="P40" i="40"/>
  <c r="S40" i="40" s="1"/>
  <c r="O40" i="40"/>
  <c r="R40" i="40" s="1"/>
  <c r="N40" i="40"/>
  <c r="Q40" i="40" s="1"/>
  <c r="P39" i="40"/>
  <c r="S39" i="40" s="1"/>
  <c r="O39" i="40"/>
  <c r="R39" i="40" s="1"/>
  <c r="N39" i="40"/>
  <c r="Q39" i="40" s="1"/>
  <c r="P38" i="40"/>
  <c r="S38" i="40" s="1"/>
  <c r="O38" i="40"/>
  <c r="R38" i="40" s="1"/>
  <c r="N38" i="40"/>
  <c r="Q38" i="40" s="1"/>
  <c r="P37" i="40"/>
  <c r="S37" i="40" s="1"/>
  <c r="O37" i="40"/>
  <c r="R37" i="40" s="1"/>
  <c r="N37" i="40"/>
  <c r="Q37" i="40" s="1"/>
  <c r="P36" i="40"/>
  <c r="S36" i="40" s="1"/>
  <c r="O36" i="40"/>
  <c r="R36" i="40" s="1"/>
  <c r="N36" i="40"/>
  <c r="Q36" i="40" s="1"/>
  <c r="P35" i="40"/>
  <c r="S35" i="40" s="1"/>
  <c r="O35" i="40"/>
  <c r="R35" i="40" s="1"/>
  <c r="N35" i="40"/>
  <c r="Q35" i="40" s="1"/>
  <c r="P34" i="40"/>
  <c r="S34" i="40" s="1"/>
  <c r="O34" i="40"/>
  <c r="R34" i="40" s="1"/>
  <c r="N34" i="40"/>
  <c r="Q34" i="40" s="1"/>
  <c r="P33" i="40"/>
  <c r="S33" i="40" s="1"/>
  <c r="O33" i="40"/>
  <c r="R33" i="40" s="1"/>
  <c r="N33" i="40"/>
  <c r="Q33" i="40" s="1"/>
  <c r="P32" i="40"/>
  <c r="S32" i="40" s="1"/>
  <c r="O32" i="40"/>
  <c r="R32" i="40" s="1"/>
  <c r="N32" i="40"/>
  <c r="Q32" i="40" s="1"/>
  <c r="P31" i="40"/>
  <c r="S31" i="40" s="1"/>
  <c r="O31" i="40"/>
  <c r="R31" i="40" s="1"/>
  <c r="N31" i="40"/>
  <c r="Q31" i="40" s="1"/>
  <c r="P30" i="40"/>
  <c r="S30" i="40" s="1"/>
  <c r="O30" i="40"/>
  <c r="R30" i="40" s="1"/>
  <c r="N30" i="40"/>
  <c r="Q30" i="40" s="1"/>
  <c r="P29" i="40"/>
  <c r="S29" i="40" s="1"/>
  <c r="O29" i="40"/>
  <c r="R29" i="40" s="1"/>
  <c r="N29" i="40"/>
  <c r="Q29" i="40" s="1"/>
  <c r="P28" i="40"/>
  <c r="S28" i="40" s="1"/>
  <c r="O28" i="40"/>
  <c r="R28" i="40" s="1"/>
  <c r="N28" i="40"/>
  <c r="Q28" i="40" s="1"/>
  <c r="P27" i="40"/>
  <c r="S27" i="40" s="1"/>
  <c r="O27" i="40"/>
  <c r="R27" i="40" s="1"/>
  <c r="N27" i="40"/>
  <c r="Q27" i="40" s="1"/>
  <c r="P26" i="40"/>
  <c r="S26" i="40" s="1"/>
  <c r="O26" i="40"/>
  <c r="R26" i="40" s="1"/>
  <c r="N26" i="40"/>
  <c r="Q26" i="40" s="1"/>
  <c r="P25" i="40"/>
  <c r="S25" i="40" s="1"/>
  <c r="O25" i="40"/>
  <c r="R25" i="40" s="1"/>
  <c r="N25" i="40"/>
  <c r="Q25" i="40" s="1"/>
  <c r="P24" i="40"/>
  <c r="S24" i="40" s="1"/>
  <c r="O24" i="40"/>
  <c r="R24" i="40" s="1"/>
  <c r="N24" i="40"/>
  <c r="Q24" i="40" s="1"/>
  <c r="P23" i="40"/>
  <c r="S23" i="40" s="1"/>
  <c r="O23" i="40"/>
  <c r="R23" i="40" s="1"/>
  <c r="N23" i="40"/>
  <c r="Q23" i="40" s="1"/>
  <c r="P22" i="40"/>
  <c r="S22" i="40" s="1"/>
  <c r="O22" i="40"/>
  <c r="R22" i="40" s="1"/>
  <c r="N22" i="40"/>
  <c r="Q22" i="40" s="1"/>
  <c r="P21" i="40"/>
  <c r="S21" i="40" s="1"/>
  <c r="O21" i="40"/>
  <c r="R21" i="40" s="1"/>
  <c r="N21" i="40"/>
  <c r="Q21" i="40" s="1"/>
  <c r="P20" i="40"/>
  <c r="S20" i="40" s="1"/>
  <c r="O20" i="40"/>
  <c r="R20" i="40" s="1"/>
  <c r="N20" i="40"/>
  <c r="Q20" i="40" s="1"/>
  <c r="P19" i="40"/>
  <c r="S19" i="40" s="1"/>
  <c r="O19" i="40"/>
  <c r="R19" i="40" s="1"/>
  <c r="N19" i="40"/>
  <c r="Q19" i="40" s="1"/>
  <c r="P18" i="40"/>
  <c r="S18" i="40" s="1"/>
  <c r="O18" i="40"/>
  <c r="R18" i="40" s="1"/>
  <c r="N18" i="40"/>
  <c r="Q18" i="40" s="1"/>
  <c r="P17" i="40"/>
  <c r="S17" i="40" s="1"/>
  <c r="O17" i="40"/>
  <c r="R17" i="40" s="1"/>
  <c r="N17" i="40"/>
  <c r="Q17" i="40" s="1"/>
  <c r="P16" i="40"/>
  <c r="S16" i="40" s="1"/>
  <c r="O16" i="40"/>
  <c r="R16" i="40" s="1"/>
  <c r="N16" i="40"/>
  <c r="Q16" i="40" s="1"/>
  <c r="P15" i="40"/>
  <c r="S15" i="40" s="1"/>
  <c r="O15" i="40"/>
  <c r="R15" i="40" s="1"/>
  <c r="N15" i="40"/>
  <c r="Q15" i="40" s="1"/>
  <c r="P14" i="40"/>
  <c r="S14" i="40" s="1"/>
  <c r="O14" i="40"/>
  <c r="R14" i="40" s="1"/>
  <c r="N14" i="40"/>
  <c r="Q14" i="40" s="1"/>
  <c r="P13" i="40"/>
  <c r="S13" i="40" s="1"/>
  <c r="O13" i="40"/>
  <c r="R13" i="40" s="1"/>
  <c r="N13" i="40"/>
  <c r="Q13" i="40" s="1"/>
  <c r="W8" i="40"/>
  <c r="P12" i="40"/>
  <c r="S12" i="40" s="1"/>
  <c r="O12" i="40"/>
  <c r="R12" i="40" s="1"/>
  <c r="N12" i="40"/>
  <c r="Q12" i="40" s="1"/>
  <c r="P11" i="40"/>
  <c r="S11" i="40" s="1"/>
  <c r="O11" i="40"/>
  <c r="R11" i="40" s="1"/>
  <c r="N11" i="40"/>
  <c r="Q11" i="40" s="1"/>
  <c r="P10" i="40"/>
  <c r="S10" i="40" s="1"/>
  <c r="O10" i="40"/>
  <c r="R10" i="40" s="1"/>
  <c r="N10" i="40"/>
  <c r="Q10" i="40" s="1"/>
  <c r="P9" i="40"/>
  <c r="S9" i="40" s="1"/>
  <c r="O9" i="40"/>
  <c r="R9" i="40" s="1"/>
  <c r="N9" i="40"/>
  <c r="Q9" i="40" s="1"/>
  <c r="P8" i="40"/>
  <c r="S8" i="40" s="1"/>
  <c r="O8" i="40"/>
  <c r="R8" i="40" s="1"/>
  <c r="N8" i="40"/>
  <c r="Q8" i="40" s="1"/>
  <c r="P7" i="40"/>
  <c r="S7" i="40" s="1"/>
  <c r="O7" i="40"/>
  <c r="R7" i="40" s="1"/>
  <c r="N7" i="40"/>
  <c r="Q7" i="40" s="1"/>
  <c r="P6" i="40"/>
  <c r="S6" i="40" s="1"/>
  <c r="O6" i="40"/>
  <c r="R6" i="40" s="1"/>
  <c r="N6" i="40"/>
  <c r="Q6" i="40" s="1"/>
  <c r="P5" i="40"/>
  <c r="S5" i="40" s="1"/>
  <c r="O5" i="40"/>
  <c r="R5" i="40" s="1"/>
  <c r="N5" i="40"/>
  <c r="Q5" i="40" s="1"/>
  <c r="P4" i="40"/>
  <c r="S4" i="40" s="1"/>
  <c r="O4" i="40"/>
  <c r="R4" i="40" s="1"/>
  <c r="N4" i="40"/>
  <c r="Q4" i="40" s="1"/>
  <c r="P3" i="40"/>
  <c r="S3" i="40" s="1"/>
  <c r="O3" i="40"/>
  <c r="R3" i="40" s="1"/>
  <c r="N3" i="40"/>
  <c r="Q3" i="40" s="1"/>
  <c r="P2" i="40"/>
  <c r="S2" i="40" s="1"/>
  <c r="O2" i="40"/>
  <c r="R2" i="40" s="1"/>
  <c r="N2" i="40"/>
  <c r="Q2" i="40" s="1"/>
  <c r="O21" i="42" l="1"/>
  <c r="O18" i="42"/>
  <c r="O22" i="42"/>
  <c r="O20" i="42"/>
  <c r="T274" i="40"/>
  <c r="W5" i="40"/>
  <c r="W2" i="40"/>
  <c r="W6" i="40"/>
  <c r="W3" i="40"/>
  <c r="W7" i="40"/>
  <c r="W4" i="40"/>
  <c r="T273" i="40"/>
  <c r="U273" i="40" s="1"/>
  <c r="T272" i="40"/>
  <c r="U272" i="40" s="1"/>
  <c r="T270" i="40"/>
  <c r="X270" i="40" s="1"/>
  <c r="T271" i="40"/>
  <c r="U271" i="40" s="1"/>
  <c r="T269" i="40"/>
  <c r="U269" i="40" s="1"/>
  <c r="T268" i="40"/>
  <c r="X268" i="40" s="1"/>
  <c r="T265" i="40"/>
  <c r="U265" i="40" s="1"/>
  <c r="T256" i="40"/>
  <c r="X256" i="40" s="1"/>
  <c r="T264" i="40"/>
  <c r="X264" i="40" s="1"/>
  <c r="T262" i="40"/>
  <c r="U262" i="40" s="1"/>
  <c r="T261" i="40"/>
  <c r="X261" i="40" s="1"/>
  <c r="T252" i="40"/>
  <c r="T214" i="40"/>
  <c r="X214" i="40" s="1"/>
  <c r="T254" i="40"/>
  <c r="T230" i="40"/>
  <c r="U230" i="40" s="1"/>
  <c r="T199" i="40"/>
  <c r="T207" i="40"/>
  <c r="X207" i="40" s="1"/>
  <c r="T251" i="40"/>
  <c r="X251" i="40" s="1"/>
  <c r="T217" i="40"/>
  <c r="X217" i="40" s="1"/>
  <c r="T257" i="40"/>
  <c r="X257" i="40" s="1"/>
  <c r="T255" i="40"/>
  <c r="U255" i="40" s="1"/>
  <c r="T249" i="40"/>
  <c r="X249" i="40" s="1"/>
  <c r="T247" i="40"/>
  <c r="X247" i="40" s="1"/>
  <c r="T245" i="40"/>
  <c r="U245" i="40" s="1"/>
  <c r="T243" i="40"/>
  <c r="X243" i="40" s="1"/>
  <c r="T233" i="40"/>
  <c r="U233" i="40" s="1"/>
  <c r="T228" i="40"/>
  <c r="U228" i="40" s="1"/>
  <c r="T227" i="40"/>
  <c r="T225" i="40"/>
  <c r="T223" i="40"/>
  <c r="T221" i="40"/>
  <c r="U221" i="40" s="1"/>
  <c r="T219" i="40"/>
  <c r="U219" i="40" s="1"/>
  <c r="T216" i="40"/>
  <c r="U216" i="40" s="1"/>
  <c r="T213" i="40"/>
  <c r="U213" i="40" s="1"/>
  <c r="T211" i="40"/>
  <c r="U211" i="40" s="1"/>
  <c r="T209" i="40"/>
  <c r="T206" i="40"/>
  <c r="X206" i="40" s="1"/>
  <c r="T205" i="40"/>
  <c r="U205" i="40" s="1"/>
  <c r="T253" i="40"/>
  <c r="U253" i="40" s="1"/>
  <c r="T248" i="40"/>
  <c r="U248" i="40" s="1"/>
  <c r="T246" i="40"/>
  <c r="X246" i="40" s="1"/>
  <c r="T244" i="40"/>
  <c r="X244" i="40" s="1"/>
  <c r="T226" i="40"/>
  <c r="U226" i="40" s="1"/>
  <c r="T224" i="40"/>
  <c r="T222" i="40"/>
  <c r="T220" i="40"/>
  <c r="T212" i="40"/>
  <c r="X212" i="40" s="1"/>
  <c r="T200" i="40"/>
  <c r="X200" i="40" s="1"/>
  <c r="T185" i="40"/>
  <c r="U185" i="40" s="1"/>
  <c r="T182" i="40"/>
  <c r="X182" i="40" s="1"/>
  <c r="T176" i="40"/>
  <c r="X176" i="40" s="1"/>
  <c r="T174" i="40"/>
  <c r="X174" i="40" s="1"/>
  <c r="T172" i="40"/>
  <c r="X172" i="40" s="1"/>
  <c r="T166" i="40"/>
  <c r="X166" i="40" s="1"/>
  <c r="T153" i="40"/>
  <c r="U153" i="40" s="1"/>
  <c r="T149" i="40"/>
  <c r="U149" i="40" s="1"/>
  <c r="T139" i="40"/>
  <c r="U139" i="40" s="1"/>
  <c r="T126" i="40"/>
  <c r="U126" i="40" s="1"/>
  <c r="T113" i="40"/>
  <c r="T102" i="40"/>
  <c r="T90" i="40"/>
  <c r="X90" i="40" s="1"/>
  <c r="T83" i="40"/>
  <c r="U83" i="40" s="1"/>
  <c r="T81" i="40"/>
  <c r="T78" i="40"/>
  <c r="U78" i="40" s="1"/>
  <c r="T75" i="40"/>
  <c r="U75" i="40" s="1"/>
  <c r="T72" i="40"/>
  <c r="X72" i="40" s="1"/>
  <c r="T70" i="40"/>
  <c r="U70" i="40" s="1"/>
  <c r="T63" i="40"/>
  <c r="T61" i="40"/>
  <c r="X61" i="40" s="1"/>
  <c r="T25" i="40"/>
  <c r="U25" i="40" s="1"/>
  <c r="T5" i="40"/>
  <c r="X5" i="40" s="1"/>
  <c r="T3" i="40"/>
  <c r="U3" i="40" s="1"/>
  <c r="T198" i="40"/>
  <c r="T188" i="40"/>
  <c r="X188" i="40" s="1"/>
  <c r="T183" i="40"/>
  <c r="X183" i="40" s="1"/>
  <c r="T178" i="40"/>
  <c r="T173" i="40"/>
  <c r="T154" i="40"/>
  <c r="U154" i="40" s="1"/>
  <c r="T148" i="40"/>
  <c r="T138" i="40"/>
  <c r="X138" i="40" s="1"/>
  <c r="T128" i="40"/>
  <c r="X128" i="40" s="1"/>
  <c r="T123" i="40"/>
  <c r="U123" i="40" s="1"/>
  <c r="T103" i="40"/>
  <c r="X103" i="40" s="1"/>
  <c r="T100" i="40"/>
  <c r="X100" i="40" s="1"/>
  <c r="T98" i="40"/>
  <c r="X98" i="40" s="1"/>
  <c r="T96" i="40"/>
  <c r="T94" i="40"/>
  <c r="U94" i="40" s="1"/>
  <c r="T88" i="40"/>
  <c r="X88" i="40" s="1"/>
  <c r="T202" i="40"/>
  <c r="T194" i="40"/>
  <c r="U194" i="40" s="1"/>
  <c r="T146" i="40"/>
  <c r="X146" i="40" s="1"/>
  <c r="T137" i="40"/>
  <c r="T134" i="40"/>
  <c r="T132" i="40"/>
  <c r="X132" i="40" s="1"/>
  <c r="T131" i="40"/>
  <c r="T124" i="40"/>
  <c r="T110" i="40"/>
  <c r="X110" i="40" s="1"/>
  <c r="T108" i="40"/>
  <c r="X108" i="40" s="1"/>
  <c r="T87" i="40"/>
  <c r="U87" i="40" s="1"/>
  <c r="T86" i="40"/>
  <c r="U86" i="40" s="1"/>
  <c r="T82" i="40"/>
  <c r="X82" i="40" s="1"/>
  <c r="T80" i="40"/>
  <c r="X80" i="40" s="1"/>
  <c r="T55" i="40"/>
  <c r="X55" i="40" s="1"/>
  <c r="T50" i="40"/>
  <c r="X50" i="40" s="1"/>
  <c r="T19" i="40"/>
  <c r="X19" i="40" s="1"/>
  <c r="T17" i="40"/>
  <c r="T15" i="40"/>
  <c r="X15" i="40" s="1"/>
  <c r="T10" i="40"/>
  <c r="T2" i="40"/>
  <c r="U2" i="40" s="1"/>
  <c r="T191" i="40"/>
  <c r="X191" i="40" s="1"/>
  <c r="T165" i="40"/>
  <c r="X165" i="40" s="1"/>
  <c r="T156" i="40"/>
  <c r="X156" i="40" s="1"/>
  <c r="T150" i="40"/>
  <c r="T144" i="40"/>
  <c r="T141" i="40"/>
  <c r="X141" i="40" s="1"/>
  <c r="T136" i="40"/>
  <c r="X136" i="40" s="1"/>
  <c r="T130" i="40"/>
  <c r="U130" i="40" s="1"/>
  <c r="T119" i="40"/>
  <c r="T116" i="40"/>
  <c r="T105" i="40"/>
  <c r="T95" i="40"/>
  <c r="X95" i="40" s="1"/>
  <c r="T91" i="40"/>
  <c r="X91" i="40" s="1"/>
  <c r="T59" i="40"/>
  <c r="U59" i="40" s="1"/>
  <c r="T48" i="40"/>
  <c r="T46" i="40"/>
  <c r="U46" i="40" s="1"/>
  <c r="T41" i="40"/>
  <c r="X41" i="40" s="1"/>
  <c r="T38" i="40"/>
  <c r="U38" i="40" s="1"/>
  <c r="T36" i="40"/>
  <c r="T29" i="40"/>
  <c r="U29" i="40" s="1"/>
  <c r="T27" i="40"/>
  <c r="U27" i="40" s="1"/>
  <c r="T16" i="40"/>
  <c r="T14" i="40"/>
  <c r="T201" i="40"/>
  <c r="X201" i="40" s="1"/>
  <c r="T195" i="40"/>
  <c r="U195" i="40" s="1"/>
  <c r="T192" i="40"/>
  <c r="X192" i="40" s="1"/>
  <c r="T181" i="40"/>
  <c r="X181" i="40" s="1"/>
  <c r="T167" i="40"/>
  <c r="U167" i="40" s="1"/>
  <c r="T159" i="40"/>
  <c r="X159" i="40" s="1"/>
  <c r="T147" i="40"/>
  <c r="U147" i="40" s="1"/>
  <c r="T114" i="40"/>
  <c r="T107" i="40"/>
  <c r="X107" i="40" s="1"/>
  <c r="T62" i="40"/>
  <c r="U62" i="40" s="1"/>
  <c r="T54" i="40"/>
  <c r="T47" i="40"/>
  <c r="U47" i="40" s="1"/>
  <c r="T40" i="40"/>
  <c r="U40" i="40" s="1"/>
  <c r="T32" i="40"/>
  <c r="X32" i="40" s="1"/>
  <c r="T30" i="40"/>
  <c r="X30" i="40" s="1"/>
  <c r="T28" i="40"/>
  <c r="T21" i="40"/>
  <c r="X21" i="40" s="1"/>
  <c r="T20" i="40"/>
  <c r="U20" i="40" s="1"/>
  <c r="T4" i="40"/>
  <c r="U4" i="40" s="1"/>
  <c r="T196" i="40"/>
  <c r="U196" i="40" s="1"/>
  <c r="T186" i="40"/>
  <c r="X186" i="40" s="1"/>
  <c r="T161" i="40"/>
  <c r="T129" i="40"/>
  <c r="T120" i="40"/>
  <c r="T111" i="40"/>
  <c r="X111" i="40" s="1"/>
  <c r="T99" i="40"/>
  <c r="U99" i="40" s="1"/>
  <c r="T79" i="40"/>
  <c r="U79" i="40" s="1"/>
  <c r="T71" i="40"/>
  <c r="X71" i="40" s="1"/>
  <c r="T68" i="40"/>
  <c r="U68" i="40" s="1"/>
  <c r="T66" i="40"/>
  <c r="U66" i="40" s="1"/>
  <c r="T64" i="40"/>
  <c r="X64" i="40" s="1"/>
  <c r="T57" i="40"/>
  <c r="U57" i="40" s="1"/>
  <c r="T34" i="40"/>
  <c r="U34" i="40" s="1"/>
  <c r="T22" i="40"/>
  <c r="U22" i="40" s="1"/>
  <c r="T12" i="40"/>
  <c r="U12" i="40" s="1"/>
  <c r="T203" i="40"/>
  <c r="X203" i="40" s="1"/>
  <c r="T197" i="40"/>
  <c r="X197" i="40" s="1"/>
  <c r="T190" i="40"/>
  <c r="X190" i="40" s="1"/>
  <c r="T179" i="40"/>
  <c r="U179" i="40" s="1"/>
  <c r="T177" i="40"/>
  <c r="T169" i="40"/>
  <c r="X169" i="40" s="1"/>
  <c r="T163" i="40"/>
  <c r="X163" i="40" s="1"/>
  <c r="T122" i="40"/>
  <c r="U122" i="40" s="1"/>
  <c r="T85" i="40"/>
  <c r="X85" i="40" s="1"/>
  <c r="T84" i="40"/>
  <c r="U84" i="40" s="1"/>
  <c r="T77" i="40"/>
  <c r="U77" i="40" s="1"/>
  <c r="T73" i="40"/>
  <c r="U73" i="40" s="1"/>
  <c r="T65" i="40"/>
  <c r="X65" i="40" s="1"/>
  <c r="T52" i="40"/>
  <c r="U52" i="40" s="1"/>
  <c r="T49" i="40"/>
  <c r="U49" i="40" s="1"/>
  <c r="T44" i="40"/>
  <c r="U44" i="40" s="1"/>
  <c r="T42" i="40"/>
  <c r="U42" i="40" s="1"/>
  <c r="T33" i="40"/>
  <c r="X33" i="40" s="1"/>
  <c r="T31" i="40"/>
  <c r="T24" i="40"/>
  <c r="U24" i="40" s="1"/>
  <c r="T9" i="40"/>
  <c r="T193" i="40"/>
  <c r="U193" i="40" s="1"/>
  <c r="T180" i="40"/>
  <c r="U180" i="40" s="1"/>
  <c r="T162" i="40"/>
  <c r="U162" i="40" s="1"/>
  <c r="T160" i="40"/>
  <c r="X160" i="40" s="1"/>
  <c r="T158" i="40"/>
  <c r="X158" i="40" s="1"/>
  <c r="T145" i="40"/>
  <c r="T142" i="40"/>
  <c r="T125" i="40"/>
  <c r="T121" i="40"/>
  <c r="X121" i="40" s="1"/>
  <c r="T117" i="40"/>
  <c r="U117" i="40" s="1"/>
  <c r="T74" i="40"/>
  <c r="X74" i="40" s="1"/>
  <c r="T67" i="40"/>
  <c r="T60" i="40"/>
  <c r="X60" i="40" s="1"/>
  <c r="T58" i="40"/>
  <c r="X58" i="40" s="1"/>
  <c r="T37" i="40"/>
  <c r="T175" i="40"/>
  <c r="T170" i="40"/>
  <c r="T168" i="40"/>
  <c r="X168" i="40" s="1"/>
  <c r="T155" i="40"/>
  <c r="T151" i="40"/>
  <c r="X151" i="40" s="1"/>
  <c r="T118" i="40"/>
  <c r="U118" i="40" s="1"/>
  <c r="T115" i="40"/>
  <c r="U115" i="40" s="1"/>
  <c r="T109" i="40"/>
  <c r="X109" i="40" s="1"/>
  <c r="T104" i="40"/>
  <c r="U104" i="40" s="1"/>
  <c r="T97" i="40"/>
  <c r="X97" i="40" s="1"/>
  <c r="T93" i="40"/>
  <c r="U93" i="40" s="1"/>
  <c r="T89" i="40"/>
  <c r="T76" i="40"/>
  <c r="U76" i="40" s="1"/>
  <c r="T56" i="40"/>
  <c r="X56" i="40" s="1"/>
  <c r="T53" i="40"/>
  <c r="X53" i="40" s="1"/>
  <c r="T51" i="40"/>
  <c r="X51" i="40" s="1"/>
  <c r="T43" i="40"/>
  <c r="T26" i="40"/>
  <c r="X26" i="40" s="1"/>
  <c r="T13" i="40"/>
  <c r="U13" i="40" s="1"/>
  <c r="T8" i="40"/>
  <c r="T7" i="40"/>
  <c r="X7" i="40" s="1"/>
  <c r="T6" i="40"/>
  <c r="X6" i="40" s="1"/>
  <c r="T204" i="40"/>
  <c r="T189" i="40"/>
  <c r="T164" i="40"/>
  <c r="U164" i="40" s="1"/>
  <c r="T157" i="40"/>
  <c r="U157" i="40" s="1"/>
  <c r="T140" i="40"/>
  <c r="X140" i="40" s="1"/>
  <c r="T112" i="40"/>
  <c r="U112" i="40" s="1"/>
  <c r="T260" i="40"/>
  <c r="T259" i="40"/>
  <c r="T266" i="40"/>
  <c r="T231" i="40"/>
  <c r="T218" i="40"/>
  <c r="T215" i="40"/>
  <c r="T208" i="40"/>
  <c r="T69" i="40"/>
  <c r="X69" i="40" s="1"/>
  <c r="T18" i="40"/>
  <c r="X18" i="40" s="1"/>
  <c r="T187" i="40"/>
  <c r="X187" i="40" s="1"/>
  <c r="T184" i="40"/>
  <c r="T234" i="40"/>
  <c r="T23" i="40"/>
  <c r="T152" i="40"/>
  <c r="U152" i="40" s="1"/>
  <c r="T45" i="40"/>
  <c r="X45" i="40" s="1"/>
  <c r="T235" i="40"/>
  <c r="U235" i="40" s="1"/>
  <c r="T237" i="40"/>
  <c r="T232" i="40"/>
  <c r="T171" i="40"/>
  <c r="X171" i="40" s="1"/>
  <c r="T35" i="40"/>
  <c r="U35" i="40" s="1"/>
  <c r="T267" i="40"/>
  <c r="T229" i="40"/>
  <c r="T210" i="40"/>
  <c r="T127" i="40"/>
  <c r="U127" i="40" s="1"/>
  <c r="T39" i="40"/>
  <c r="T241" i="40"/>
  <c r="U241" i="40" s="1"/>
  <c r="T11" i="40"/>
  <c r="X11" i="40" s="1"/>
  <c r="T250" i="40"/>
  <c r="U250" i="40" s="1"/>
  <c r="T92" i="40"/>
  <c r="U92" i="40" s="1"/>
  <c r="T258" i="40"/>
  <c r="T143" i="40"/>
  <c r="T101" i="40"/>
  <c r="U101" i="40" s="1"/>
  <c r="U274" i="40"/>
  <c r="X274" i="40"/>
  <c r="U252" i="40"/>
  <c r="X252" i="40"/>
  <c r="X230" i="40"/>
  <c r="X227" i="40"/>
  <c r="U227" i="40"/>
  <c r="X225" i="40"/>
  <c r="U225" i="40"/>
  <c r="U224" i="40"/>
  <c r="X224" i="40"/>
  <c r="X223" i="40"/>
  <c r="U223" i="40"/>
  <c r="U222" i="40"/>
  <c r="X222" i="40"/>
  <c r="X215" i="40"/>
  <c r="U215" i="40"/>
  <c r="X199" i="40"/>
  <c r="U199" i="40"/>
  <c r="U178" i="40"/>
  <c r="X178" i="40"/>
  <c r="X177" i="40"/>
  <c r="U177" i="40"/>
  <c r="U173" i="40"/>
  <c r="X173" i="40"/>
  <c r="U169" i="40"/>
  <c r="U165" i="40"/>
  <c r="X148" i="40"/>
  <c r="U148" i="40"/>
  <c r="X137" i="40"/>
  <c r="U137" i="40"/>
  <c r="X114" i="40"/>
  <c r="U114" i="40"/>
  <c r="X102" i="40"/>
  <c r="U102" i="40"/>
  <c r="U81" i="40"/>
  <c r="X81" i="40"/>
  <c r="X79" i="40"/>
  <c r="X78" i="40"/>
  <c r="X75" i="40"/>
  <c r="X48" i="40"/>
  <c r="U48" i="40"/>
  <c r="X43" i="40"/>
  <c r="U43" i="40"/>
  <c r="U41" i="40"/>
  <c r="W190" i="40"/>
  <c r="W213" i="40"/>
  <c r="W191" i="40"/>
  <c r="W205" i="40"/>
  <c r="W218" i="40"/>
  <c r="W203" i="40"/>
  <c r="W226" i="40"/>
  <c r="W194" i="40"/>
  <c r="W30" i="40"/>
  <c r="W183" i="40"/>
  <c r="W178" i="40"/>
  <c r="W273" i="40"/>
  <c r="W272" i="40"/>
  <c r="W166" i="40"/>
  <c r="W270" i="40"/>
  <c r="W269" i="40"/>
  <c r="W267" i="40"/>
  <c r="W51" i="40"/>
  <c r="W266" i="40"/>
  <c r="W264" i="40"/>
  <c r="W262" i="40"/>
  <c r="W239" i="40"/>
  <c r="W236" i="40"/>
  <c r="W235" i="40"/>
  <c r="W230" i="40"/>
  <c r="W228" i="40"/>
  <c r="W219" i="40"/>
  <c r="W140" i="40"/>
  <c r="W212" i="40"/>
  <c r="W79" i="40"/>
  <c r="W196" i="40"/>
  <c r="W189" i="40"/>
  <c r="W186" i="40"/>
  <c r="W83" i="40"/>
  <c r="W126" i="40"/>
  <c r="W170" i="40"/>
  <c r="W125" i="40"/>
  <c r="W86" i="40"/>
  <c r="W122" i="40"/>
  <c r="W148" i="40"/>
  <c r="W147" i="40"/>
  <c r="W118" i="40"/>
  <c r="W142" i="40"/>
  <c r="W137" i="40"/>
  <c r="W111" i="40"/>
  <c r="W136" i="40"/>
  <c r="W128" i="40"/>
  <c r="W113" i="40"/>
  <c r="W73" i="40"/>
  <c r="W96" i="40"/>
  <c r="W63" i="40"/>
  <c r="W47" i="40"/>
  <c r="W44" i="40"/>
  <c r="W42" i="40"/>
  <c r="W40" i="40"/>
  <c r="W80" i="40"/>
  <c r="W78" i="40"/>
  <c r="W36" i="40"/>
  <c r="W32" i="40"/>
  <c r="W23" i="40"/>
  <c r="W19" i="40"/>
  <c r="W245" i="40"/>
  <c r="W68" i="40"/>
  <c r="W234" i="40"/>
  <c r="W208" i="40"/>
  <c r="W61" i="40"/>
  <c r="W157" i="40"/>
  <c r="W168" i="40"/>
  <c r="W174" i="40"/>
  <c r="W53" i="40"/>
  <c r="W179" i="40"/>
  <c r="W123" i="40"/>
  <c r="W195" i="40"/>
  <c r="W41" i="40"/>
  <c r="W209" i="40"/>
  <c r="W112" i="40"/>
  <c r="W108" i="40"/>
  <c r="W103" i="40"/>
  <c r="W93" i="40"/>
  <c r="W91" i="40"/>
  <c r="W87" i="40"/>
  <c r="W76" i="40"/>
  <c r="W70" i="40"/>
  <c r="W15" i="40"/>
  <c r="W66" i="40"/>
  <c r="W11" i="40"/>
  <c r="W265" i="40"/>
  <c r="W50" i="40"/>
  <c r="W98" i="40"/>
  <c r="W24" i="40"/>
  <c r="W211" i="40"/>
  <c r="W244" i="40"/>
  <c r="W105" i="40"/>
  <c r="W250" i="40"/>
  <c r="W258" i="40"/>
  <c r="W129" i="40"/>
  <c r="W242" i="40"/>
  <c r="W240" i="40"/>
  <c r="W131" i="40"/>
  <c r="W274" i="40"/>
  <c r="W232" i="40"/>
  <c r="W146" i="40"/>
  <c r="W231" i="40"/>
  <c r="W149" i="40"/>
  <c r="W151" i="40"/>
  <c r="W217" i="40"/>
  <c r="W215" i="40"/>
  <c r="W156" i="40"/>
  <c r="W165" i="40"/>
  <c r="W188" i="40"/>
  <c r="W210" i="40"/>
  <c r="W216" i="40"/>
  <c r="W223" i="40"/>
  <c r="W251" i="40"/>
  <c r="W256" i="40"/>
  <c r="W9" i="40"/>
  <c r="W193" i="40"/>
  <c r="W192" i="40"/>
  <c r="W185" i="40"/>
  <c r="W259" i="40"/>
  <c r="W249" i="40"/>
  <c r="W14" i="40"/>
  <c r="W20" i="40"/>
  <c r="W172" i="40"/>
  <c r="W17" i="40"/>
  <c r="W167" i="40"/>
  <c r="W243" i="40"/>
  <c r="W238" i="40"/>
  <c r="W22" i="40"/>
  <c r="W227" i="40"/>
  <c r="W224" i="40"/>
  <c r="W49" i="40"/>
  <c r="W143" i="40"/>
  <c r="W135" i="40"/>
  <c r="W207" i="40"/>
  <c r="W52" i="40"/>
  <c r="W57" i="40"/>
  <c r="W58" i="40"/>
  <c r="W65" i="40"/>
  <c r="W176" i="40"/>
  <c r="W109" i="40"/>
  <c r="W75" i="40"/>
  <c r="W163" i="40"/>
  <c r="W154" i="40"/>
  <c r="W100" i="40"/>
  <c r="W141" i="40"/>
  <c r="W104" i="40"/>
  <c r="W114" i="40"/>
  <c r="W81" i="40"/>
  <c r="W101" i="40"/>
  <c r="W77" i="40"/>
  <c r="W95" i="40"/>
  <c r="W89" i="40"/>
  <c r="W85" i="40"/>
  <c r="W62" i="40"/>
  <c r="W72" i="40"/>
  <c r="W55" i="40"/>
  <c r="W69" i="40"/>
  <c r="W48" i="40"/>
  <c r="W67" i="40"/>
  <c r="W64" i="40"/>
  <c r="W31" i="40"/>
  <c r="W145" i="40"/>
  <c r="W27" i="40"/>
  <c r="W21" i="40"/>
  <c r="W56" i="40"/>
  <c r="W35" i="40"/>
  <c r="W18" i="40"/>
  <c r="W255" i="40"/>
  <c r="W12" i="40"/>
  <c r="W10" i="40"/>
  <c r="W37" i="40"/>
  <c r="W271" i="40"/>
  <c r="W246" i="40"/>
  <c r="W39" i="40"/>
  <c r="W43" i="40"/>
  <c r="W119" i="40"/>
  <c r="W268" i="40"/>
  <c r="W45" i="40"/>
  <c r="W127" i="40"/>
  <c r="W152" i="40"/>
  <c r="W161" i="40"/>
  <c r="W180" i="40"/>
  <c r="W182" i="40"/>
  <c r="W59" i="40"/>
  <c r="W263" i="40"/>
  <c r="W220" i="40"/>
  <c r="W200" i="40"/>
  <c r="W254" i="40"/>
  <c r="W252" i="40"/>
  <c r="W214" i="40"/>
  <c r="W222" i="40"/>
  <c r="W248" i="40"/>
  <c r="W247" i="40"/>
  <c r="W229" i="40"/>
  <c r="W241" i="40"/>
  <c r="W233" i="40"/>
  <c r="W237" i="40"/>
  <c r="W187" i="40"/>
  <c r="W88" i="40"/>
  <c r="W225" i="40"/>
  <c r="W90" i="40"/>
  <c r="W221" i="40"/>
  <c r="W253" i="40"/>
  <c r="W94" i="40"/>
  <c r="W206" i="40"/>
  <c r="W204" i="40"/>
  <c r="W202" i="40"/>
  <c r="W102" i="40"/>
  <c r="W199" i="40"/>
  <c r="W198" i="40"/>
  <c r="W197" i="40"/>
  <c r="W181" i="40"/>
  <c r="W106" i="40"/>
  <c r="W177" i="40"/>
  <c r="W169" i="40"/>
  <c r="W13" i="40"/>
  <c r="W158" i="40"/>
  <c r="W121" i="40"/>
  <c r="W130" i="40"/>
  <c r="W133" i="40"/>
  <c r="W134" i="40"/>
  <c r="W138" i="40"/>
  <c r="W139" i="40"/>
  <c r="W160" i="40"/>
  <c r="W144" i="40"/>
  <c r="W155" i="40"/>
  <c r="W162" i="40"/>
  <c r="W164" i="40"/>
  <c r="W171" i="40"/>
  <c r="W175" i="40"/>
  <c r="W132" i="40"/>
  <c r="W184" i="40"/>
  <c r="W201" i="40"/>
  <c r="W124" i="40"/>
  <c r="W153" i="40"/>
  <c r="W28" i="40"/>
  <c r="W150" i="40"/>
  <c r="W38" i="40"/>
  <c r="W46" i="40"/>
  <c r="W60" i="40"/>
  <c r="W84" i="40"/>
  <c r="W120" i="40"/>
  <c r="W117" i="40"/>
  <c r="W115" i="40"/>
  <c r="W92" i="40"/>
  <c r="W99" i="40"/>
  <c r="W97" i="40"/>
  <c r="W82" i="40"/>
  <c r="W74" i="40"/>
  <c r="W71" i="40"/>
  <c r="W33" i="40"/>
  <c r="W54" i="40"/>
  <c r="W29" i="40"/>
  <c r="W26" i="40"/>
  <c r="W25" i="40"/>
  <c r="W16" i="40"/>
  <c r="W173" i="40"/>
  <c r="W261" i="40"/>
  <c r="W34" i="40"/>
  <c r="W260" i="40"/>
  <c r="W257" i="40"/>
  <c r="W107" i="40"/>
  <c r="W110" i="40"/>
  <c r="W116" i="40"/>
  <c r="W159" i="40"/>
  <c r="U9" i="40"/>
  <c r="X9" i="40"/>
  <c r="X2" i="40"/>
  <c r="T263" i="40"/>
  <c r="T239" i="40"/>
  <c r="T135" i="40"/>
  <c r="T106" i="40"/>
  <c r="T238" i="40"/>
  <c r="T242" i="40"/>
  <c r="T133" i="40"/>
  <c r="T240" i="40"/>
  <c r="T236" i="40"/>
  <c r="X83" i="40" l="1"/>
  <c r="U111" i="40"/>
  <c r="X193" i="40"/>
  <c r="X38" i="40"/>
  <c r="X122" i="40"/>
  <c r="X127" i="40"/>
  <c r="U69" i="40"/>
  <c r="U212" i="40"/>
  <c r="X123" i="40"/>
  <c r="U26" i="40"/>
  <c r="U90" i="40"/>
  <c r="X154" i="40"/>
  <c r="U214" i="40"/>
  <c r="U156" i="40"/>
  <c r="U85" i="40"/>
  <c r="X46" i="40"/>
  <c r="U107" i="40"/>
  <c r="U72" i="40"/>
  <c r="U108" i="40"/>
  <c r="U160" i="40"/>
  <c r="U163" i="40"/>
  <c r="U251" i="40"/>
  <c r="U6" i="40"/>
  <c r="X40" i="40"/>
  <c r="U207" i="40"/>
  <c r="X68" i="40"/>
  <c r="U128" i="40"/>
  <c r="X216" i="40"/>
  <c r="U100" i="40"/>
  <c r="X70" i="40"/>
  <c r="X219" i="40"/>
  <c r="X273" i="40"/>
  <c r="X99" i="40"/>
  <c r="U138" i="40"/>
  <c r="U7" i="40"/>
  <c r="U110" i="40"/>
  <c r="U182" i="40"/>
  <c r="X185" i="40"/>
  <c r="U64" i="40"/>
  <c r="U65" i="40"/>
  <c r="X66" i="40"/>
  <c r="U32" i="40"/>
  <c r="U158" i="40"/>
  <c r="U176" i="40"/>
  <c r="X87" i="40"/>
  <c r="X180" i="40"/>
  <c r="U217" i="40"/>
  <c r="U191" i="40"/>
  <c r="X13" i="40"/>
  <c r="U61" i="40"/>
  <c r="U132" i="40"/>
  <c r="U168" i="40"/>
  <c r="X62" i="40"/>
  <c r="U18" i="40"/>
  <c r="U187" i="40"/>
  <c r="X86" i="40"/>
  <c r="U71" i="40"/>
  <c r="U174" i="40"/>
  <c r="X241" i="40"/>
  <c r="U11" i="40"/>
  <c r="X27" i="40"/>
  <c r="U51" i="40"/>
  <c r="X29" i="40"/>
  <c r="U98" i="40"/>
  <c r="X118" i="40"/>
  <c r="X47" i="40"/>
  <c r="U200" i="40"/>
  <c r="X221" i="40"/>
  <c r="X84" i="40"/>
  <c r="X162" i="40"/>
  <c r="U206" i="40"/>
  <c r="U136" i="40"/>
  <c r="X73" i="40"/>
  <c r="X20" i="40"/>
  <c r="X22" i="40"/>
  <c r="U201" i="40"/>
  <c r="X25" i="40"/>
  <c r="X115" i="40"/>
  <c r="U141" i="40"/>
  <c r="U82" i="40"/>
  <c r="X12" i="40"/>
  <c r="X4" i="40"/>
  <c r="U5" i="40"/>
  <c r="X205" i="40"/>
  <c r="X57" i="40"/>
  <c r="U151" i="40"/>
  <c r="X253" i="40"/>
  <c r="U95" i="40"/>
  <c r="U257" i="40"/>
  <c r="U97" i="40"/>
  <c r="U192" i="40"/>
  <c r="U243" i="40"/>
  <c r="U74" i="40"/>
  <c r="U121" i="40"/>
  <c r="U33" i="40"/>
  <c r="X49" i="40"/>
  <c r="X164" i="40"/>
  <c r="U264" i="40"/>
  <c r="X34" i="40"/>
  <c r="X93" i="40"/>
  <c r="U109" i="40"/>
  <c r="X271" i="40"/>
  <c r="U21" i="40"/>
  <c r="U55" i="40"/>
  <c r="X3" i="40"/>
  <c r="U203" i="40"/>
  <c r="U256" i="40"/>
  <c r="U50" i="40"/>
  <c r="X262" i="40"/>
  <c r="X149" i="40"/>
  <c r="X245" i="40"/>
  <c r="X76" i="40"/>
  <c r="X52" i="40"/>
  <c r="X195" i="40"/>
  <c r="X248" i="40"/>
  <c r="X265" i="40"/>
  <c r="X44" i="40"/>
  <c r="X130" i="40"/>
  <c r="U166" i="40"/>
  <c r="X196" i="40"/>
  <c r="X250" i="40"/>
  <c r="U268" i="40"/>
  <c r="U45" i="40"/>
  <c r="U60" i="40"/>
  <c r="U88" i="40"/>
  <c r="X104" i="40"/>
  <c r="X117" i="40"/>
  <c r="U80" i="40"/>
  <c r="U146" i="40"/>
  <c r="U183" i="40"/>
  <c r="X24" i="40"/>
  <c r="U53" i="40"/>
  <c r="X147" i="40"/>
  <c r="X157" i="40"/>
  <c r="X194" i="40"/>
  <c r="X226" i="40"/>
  <c r="U244" i="40"/>
  <c r="X35" i="40"/>
  <c r="X167" i="40"/>
  <c r="U186" i="40"/>
  <c r="U15" i="40"/>
  <c r="U56" i="40"/>
  <c r="U91" i="40"/>
  <c r="U159" i="40"/>
  <c r="X228" i="40"/>
  <c r="U246" i="40"/>
  <c r="X255" i="40"/>
  <c r="X269" i="40"/>
  <c r="X92" i="40"/>
  <c r="X101" i="40"/>
  <c r="X179" i="40"/>
  <c r="U188" i="40"/>
  <c r="U197" i="40"/>
  <c r="X211" i="40"/>
  <c r="U247" i="40"/>
  <c r="U270" i="40"/>
  <c r="U19" i="40"/>
  <c r="U58" i="40"/>
  <c r="X112" i="40"/>
  <c r="X126" i="40"/>
  <c r="X139" i="40"/>
  <c r="X152" i="40"/>
  <c r="U171" i="40"/>
  <c r="U190" i="40"/>
  <c r="X233" i="40"/>
  <c r="U30" i="40"/>
  <c r="X42" i="40"/>
  <c r="X59" i="40"/>
  <c r="X77" i="40"/>
  <c r="X94" i="40"/>
  <c r="U103" i="40"/>
  <c r="U140" i="40"/>
  <c r="X153" i="40"/>
  <c r="U172" i="40"/>
  <c r="U181" i="40"/>
  <c r="X213" i="40"/>
  <c r="X235" i="40"/>
  <c r="U249" i="40"/>
  <c r="U261" i="40"/>
  <c r="X272" i="40"/>
  <c r="X259" i="40"/>
  <c r="U259" i="40"/>
  <c r="X124" i="40"/>
  <c r="U124" i="40"/>
  <c r="U119" i="40"/>
  <c r="X119" i="40"/>
  <c r="X89" i="40"/>
  <c r="U89" i="40"/>
  <c r="U105" i="40"/>
  <c r="X105" i="40"/>
  <c r="X17" i="40"/>
  <c r="U17" i="40"/>
  <c r="X39" i="40"/>
  <c r="U39" i="40"/>
  <c r="U143" i="40"/>
  <c r="X143" i="40"/>
  <c r="U63" i="40"/>
  <c r="X63" i="40"/>
  <c r="U131" i="40"/>
  <c r="X131" i="40"/>
  <c r="X14" i="40"/>
  <c r="U14" i="40"/>
  <c r="U16" i="40"/>
  <c r="X16" i="40"/>
  <c r="X113" i="40"/>
  <c r="U113" i="40"/>
  <c r="X10" i="40"/>
  <c r="U10" i="40"/>
  <c r="X161" i="40"/>
  <c r="U161" i="40"/>
  <c r="X37" i="40"/>
  <c r="U37" i="40"/>
  <c r="U31" i="40"/>
  <c r="X31" i="40"/>
  <c r="U220" i="40"/>
  <c r="X220" i="40"/>
  <c r="X232" i="40"/>
  <c r="U232" i="40"/>
  <c r="U229" i="40"/>
  <c r="X229" i="40"/>
  <c r="U144" i="40"/>
  <c r="X144" i="40"/>
  <c r="X254" i="40"/>
  <c r="U254" i="40"/>
  <c r="U170" i="40"/>
  <c r="X170" i="40"/>
  <c r="U189" i="40"/>
  <c r="X189" i="40"/>
  <c r="X234" i="40"/>
  <c r="U234" i="40"/>
  <c r="U116" i="40"/>
  <c r="X116" i="40"/>
  <c r="X204" i="40"/>
  <c r="U204" i="40"/>
  <c r="X120" i="40"/>
  <c r="U120" i="40"/>
  <c r="U96" i="40"/>
  <c r="X96" i="40"/>
  <c r="X237" i="40"/>
  <c r="U237" i="40"/>
  <c r="X208" i="40"/>
  <c r="U208" i="40"/>
  <c r="U54" i="40"/>
  <c r="X54" i="40"/>
  <c r="U134" i="40"/>
  <c r="X134" i="40"/>
  <c r="X125" i="40"/>
  <c r="U125" i="40"/>
  <c r="U209" i="40"/>
  <c r="X209" i="40"/>
  <c r="X218" i="40"/>
  <c r="U218" i="40"/>
  <c r="U67" i="40"/>
  <c r="X67" i="40"/>
  <c r="U150" i="40"/>
  <c r="X150" i="40"/>
  <c r="U184" i="40"/>
  <c r="X184" i="40"/>
  <c r="U267" i="40"/>
  <c r="X267" i="40"/>
  <c r="U145" i="40"/>
  <c r="X145" i="40"/>
  <c r="U175" i="40"/>
  <c r="X175" i="40"/>
  <c r="U155" i="40"/>
  <c r="X155" i="40"/>
  <c r="X231" i="40"/>
  <c r="U231" i="40"/>
  <c r="X8" i="40"/>
  <c r="U8" i="40"/>
  <c r="X210" i="40"/>
  <c r="U210" i="40"/>
  <c r="X198" i="40"/>
  <c r="U198" i="40"/>
  <c r="U258" i="40"/>
  <c r="X258" i="40"/>
  <c r="U202" i="40"/>
  <c r="X202" i="40"/>
  <c r="U129" i="40"/>
  <c r="X129" i="40"/>
  <c r="U23" i="40"/>
  <c r="X23" i="40"/>
  <c r="X28" i="40"/>
  <c r="U28" i="40"/>
  <c r="X142" i="40"/>
  <c r="U142" i="40"/>
  <c r="X266" i="40"/>
  <c r="U266" i="40"/>
  <c r="X260" i="40"/>
  <c r="U260" i="40"/>
  <c r="X36" i="40"/>
  <c r="U36" i="40"/>
  <c r="U263" i="40"/>
  <c r="X263" i="40"/>
  <c r="X239" i="40"/>
  <c r="U239" i="40"/>
  <c r="U135" i="40"/>
  <c r="X135" i="40"/>
  <c r="U106" i="40"/>
  <c r="X106" i="40"/>
  <c r="X238" i="40"/>
  <c r="U238" i="40"/>
  <c r="U242" i="40"/>
  <c r="X242" i="40"/>
  <c r="U133" i="40"/>
  <c r="X133" i="40"/>
  <c r="U240" i="40"/>
  <c r="X240" i="40"/>
  <c r="X236" i="40"/>
  <c r="U236" i="40"/>
  <c r="V6" i="40"/>
  <c r="V2" i="40" l="1"/>
  <c r="V8" i="40" s="1"/>
  <c r="V10" i="40"/>
  <c r="V12" i="40"/>
</calcChain>
</file>

<file path=xl/sharedStrings.xml><?xml version="1.0" encoding="utf-8"?>
<sst xmlns="http://schemas.openxmlformats.org/spreadsheetml/2006/main" count="57" uniqueCount="39">
  <si>
    <t>w1</t>
  </si>
  <si>
    <t>w2</t>
  </si>
  <si>
    <t>z1</t>
  </si>
  <si>
    <t>z2</t>
  </si>
  <si>
    <t>z3</t>
  </si>
  <si>
    <t>A1</t>
  </si>
  <si>
    <t>A2</t>
  </si>
  <si>
    <t>A3</t>
  </si>
  <si>
    <t>R^2</t>
  </si>
  <si>
    <t>ID</t>
  </si>
  <si>
    <t>SSE</t>
  </si>
  <si>
    <t>m</t>
  </si>
  <si>
    <t>b2</t>
  </si>
  <si>
    <t>b1</t>
  </si>
  <si>
    <t>x1</t>
  </si>
  <si>
    <t>x2</t>
  </si>
  <si>
    <t>x3</t>
  </si>
  <si>
    <t>x4</t>
  </si>
  <si>
    <t>x5</t>
  </si>
  <si>
    <t>m_ann</t>
  </si>
  <si>
    <t>E^2</t>
  </si>
  <si>
    <t>Em^2</t>
  </si>
  <si>
    <t>mean(m)</t>
  </si>
  <si>
    <t>SST</t>
  </si>
  <si>
    <t>Rel E (%)</t>
  </si>
  <si>
    <t>MAE (%)</t>
  </si>
  <si>
    <t>max(Rel E) (%)</t>
  </si>
  <si>
    <t>Product</t>
  </si>
  <si>
    <t>q</t>
  </si>
  <si>
    <t>h</t>
  </si>
  <si>
    <t>k</t>
  </si>
  <si>
    <t>a</t>
  </si>
  <si>
    <t>Bayo beans 1</t>
  </si>
  <si>
    <t>Bayo beans 2</t>
  </si>
  <si>
    <t>Wheat</t>
  </si>
  <si>
    <t>Coffee beans 1</t>
  </si>
  <si>
    <t>Coffee beans 2</t>
  </si>
  <si>
    <t>RMSE</t>
  </si>
  <si>
    <t>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</si>
</sst>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5" fontId="0" fillId="2" borderId="1" xfId="0" applyNumberFormat="1" applyFill="1" applyBorder="1"/>
    <xf numFmtId="165" fontId="0" fillId="2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2" fillId="0" borderId="1" xfId="0" applyFont="1" applyBorder="1" applyAlignment="1">
      <alignment horizontal="center"/>
    </xf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3" fillId="0" borderId="1" xfId="0" applyFont="1" applyBorder="1" applyAlignment="1">
      <alignment horizontal="center"/>
    </xf>
    <xf numFmtId="165" fontId="0" fillId="0" borderId="0" xfId="0" applyNumberFormat="1" applyAlignment="1">
      <alignment horizontal="right"/>
    </xf>
    <xf numFmtId="165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1" xfId="0" applyNumberFormat="1" applyBorder="1"/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6D21EB7E-1978-4A3B-A50F-D568B5CDA9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0.5"/>
            <c:backward val="0.5"/>
            <c:dispRSqr val="0"/>
            <c:dispEq val="0"/>
          </c:trendline>
          <c:xVal>
            <c:numRef>
              <c:f>'Training data'!$G$2:$G$274</c:f>
              <c:numCache>
                <c:formatCode>0.000</c:formatCode>
                <c:ptCount val="273"/>
                <c:pt idx="0">
                  <c:v>2.01412996122267</c:v>
                </c:pt>
                <c:pt idx="1">
                  <c:v>1.8969138290702601</c:v>
                </c:pt>
                <c:pt idx="2">
                  <c:v>1.78784643102857</c:v>
                </c:pt>
                <c:pt idx="3">
                  <c:v>1.6907984306621799</c:v>
                </c:pt>
                <c:pt idx="4">
                  <c:v>1.60262533020281</c:v>
                </c:pt>
                <c:pt idx="5">
                  <c:v>1.52844000074346</c:v>
                </c:pt>
                <c:pt idx="6">
                  <c:v>1.4660158069571101</c:v>
                </c:pt>
                <c:pt idx="7">
                  <c:v>1.41932737838142</c:v>
                </c:pt>
                <c:pt idx="8">
                  <c:v>1.3848241878459899</c:v>
                </c:pt>
                <c:pt idx="9">
                  <c:v>1.3721517869532001</c:v>
                </c:pt>
                <c:pt idx="10">
                  <c:v>1.77619017533007</c:v>
                </c:pt>
                <c:pt idx="11">
                  <c:v>1.5482873674705899</c:v>
                </c:pt>
                <c:pt idx="12">
                  <c:v>1.33233469794959</c:v>
                </c:pt>
                <c:pt idx="13">
                  <c:v>1.1325380227573101</c:v>
                </c:pt>
                <c:pt idx="14">
                  <c:v>0.95877179703309401</c:v>
                </c:pt>
                <c:pt idx="15">
                  <c:v>0.80548667970997101</c:v>
                </c:pt>
                <c:pt idx="16">
                  <c:v>0.6751347835821</c:v>
                </c:pt>
                <c:pt idx="17">
                  <c:v>0.59270073278746305</c:v>
                </c:pt>
                <c:pt idx="18">
                  <c:v>0.58056900799713895</c:v>
                </c:pt>
                <c:pt idx="19">
                  <c:v>0.76587786524651702</c:v>
                </c:pt>
                <c:pt idx="20">
                  <c:v>0.597168588564709</c:v>
                </c:pt>
                <c:pt idx="21">
                  <c:v>0.58610126196485501</c:v>
                </c:pt>
                <c:pt idx="22">
                  <c:v>0.57961803378971899</c:v>
                </c:pt>
                <c:pt idx="23">
                  <c:v>0.94688545731729601</c:v>
                </c:pt>
                <c:pt idx="24">
                  <c:v>1.08413098628267</c:v>
                </c:pt>
                <c:pt idx="25">
                  <c:v>0.82193250075090596</c:v>
                </c:pt>
                <c:pt idx="26">
                  <c:v>0.72003407393728103</c:v>
                </c:pt>
                <c:pt idx="27">
                  <c:v>0.69742443734283299</c:v>
                </c:pt>
                <c:pt idx="28">
                  <c:v>1.2023841712799099</c:v>
                </c:pt>
                <c:pt idx="29">
                  <c:v>1.30581349505004</c:v>
                </c:pt>
                <c:pt idx="30">
                  <c:v>1.07072641408763</c:v>
                </c:pt>
                <c:pt idx="31">
                  <c:v>0.62298337454097197</c:v>
                </c:pt>
                <c:pt idx="32">
                  <c:v>0.94697829811168099</c:v>
                </c:pt>
                <c:pt idx="33">
                  <c:v>1.41689333252468</c:v>
                </c:pt>
                <c:pt idx="34">
                  <c:v>1.5279659931184599</c:v>
                </c:pt>
                <c:pt idx="35">
                  <c:v>0.60009277071759604</c:v>
                </c:pt>
                <c:pt idx="36">
                  <c:v>0.83431397387471595</c:v>
                </c:pt>
                <c:pt idx="37">
                  <c:v>1.2006069157675601</c:v>
                </c:pt>
                <c:pt idx="38">
                  <c:v>1.6497380202441401</c:v>
                </c:pt>
                <c:pt idx="39">
                  <c:v>2.01515544038031</c:v>
                </c:pt>
                <c:pt idx="40">
                  <c:v>1.89777331387601</c:v>
                </c:pt>
                <c:pt idx="41">
                  <c:v>1.78932957639929</c:v>
                </c:pt>
                <c:pt idx="42">
                  <c:v>1.69366956989182</c:v>
                </c:pt>
                <c:pt idx="43">
                  <c:v>1.60251643083659</c:v>
                </c:pt>
                <c:pt idx="44">
                  <c:v>1.53165120299226</c:v>
                </c:pt>
                <c:pt idx="45">
                  <c:v>1.4664060150129501</c:v>
                </c:pt>
                <c:pt idx="46">
                  <c:v>1.4227689385568401</c:v>
                </c:pt>
                <c:pt idx="47">
                  <c:v>1.38975966652337</c:v>
                </c:pt>
                <c:pt idx="48">
                  <c:v>1.3756191275279701</c:v>
                </c:pt>
                <c:pt idx="49">
                  <c:v>1.7763946876640899</c:v>
                </c:pt>
                <c:pt idx="50">
                  <c:v>1.54833749131568</c:v>
                </c:pt>
                <c:pt idx="51">
                  <c:v>1.3357724715564001</c:v>
                </c:pt>
                <c:pt idx="52">
                  <c:v>1.13742381053788</c:v>
                </c:pt>
                <c:pt idx="53">
                  <c:v>0.96326567395974305</c:v>
                </c:pt>
                <c:pt idx="54">
                  <c:v>0.80298575162469099</c:v>
                </c:pt>
                <c:pt idx="55">
                  <c:v>0.683220299086989</c:v>
                </c:pt>
                <c:pt idx="56">
                  <c:v>0.600577804932245</c:v>
                </c:pt>
                <c:pt idx="57">
                  <c:v>0.595924350972308</c:v>
                </c:pt>
                <c:pt idx="58">
                  <c:v>0.77389758924473795</c:v>
                </c:pt>
                <c:pt idx="59">
                  <c:v>0.60352740199347199</c:v>
                </c:pt>
                <c:pt idx="60">
                  <c:v>0.59552906453156595</c:v>
                </c:pt>
                <c:pt idx="61">
                  <c:v>0.59556522226772701</c:v>
                </c:pt>
                <c:pt idx="62">
                  <c:v>0.95238445191628696</c:v>
                </c:pt>
                <c:pt idx="63">
                  <c:v>1.0900685555270999</c:v>
                </c:pt>
                <c:pt idx="64">
                  <c:v>0.82324068227163005</c:v>
                </c:pt>
                <c:pt idx="65">
                  <c:v>0.72718197018897202</c:v>
                </c:pt>
                <c:pt idx="66">
                  <c:v>0.70753301496180199</c:v>
                </c:pt>
                <c:pt idx="67">
                  <c:v>1.2055437430607601</c:v>
                </c:pt>
                <c:pt idx="68">
                  <c:v>1.3113158692398801</c:v>
                </c:pt>
                <c:pt idx="69">
                  <c:v>1.0713948756287099</c:v>
                </c:pt>
                <c:pt idx="70">
                  <c:v>0.63199912807087799</c:v>
                </c:pt>
                <c:pt idx="71">
                  <c:v>0.95173540639099097</c:v>
                </c:pt>
                <c:pt idx="72">
                  <c:v>1.4178602892840599</c:v>
                </c:pt>
                <c:pt idx="73">
                  <c:v>1.53061665078812</c:v>
                </c:pt>
                <c:pt idx="74">
                  <c:v>0.613815967746424</c:v>
                </c:pt>
                <c:pt idx="75">
                  <c:v>0.83617363355135899</c:v>
                </c:pt>
                <c:pt idx="76">
                  <c:v>1.2015692430289999</c:v>
                </c:pt>
                <c:pt idx="77">
                  <c:v>1.6517190055900399</c:v>
                </c:pt>
                <c:pt idx="78">
                  <c:v>2.0157653564700801</c:v>
                </c:pt>
                <c:pt idx="79">
                  <c:v>1.89822612088694</c:v>
                </c:pt>
                <c:pt idx="80">
                  <c:v>1.79093590025474</c:v>
                </c:pt>
                <c:pt idx="81">
                  <c:v>1.6943401584958899</c:v>
                </c:pt>
                <c:pt idx="82">
                  <c:v>1.6024129930517299</c:v>
                </c:pt>
                <c:pt idx="83">
                  <c:v>1.53158158470892</c:v>
                </c:pt>
                <c:pt idx="84">
                  <c:v>1.46877059277351</c:v>
                </c:pt>
                <c:pt idx="85">
                  <c:v>1.4258139979972799</c:v>
                </c:pt>
                <c:pt idx="86">
                  <c:v>1.3921576518901699</c:v>
                </c:pt>
                <c:pt idx="87">
                  <c:v>1.3801444946619801</c:v>
                </c:pt>
                <c:pt idx="88">
                  <c:v>1.7782380752789499</c:v>
                </c:pt>
                <c:pt idx="89">
                  <c:v>1.55183993368326</c:v>
                </c:pt>
                <c:pt idx="90">
                  <c:v>1.3370952532348599</c:v>
                </c:pt>
                <c:pt idx="91">
                  <c:v>1.1392325302580599</c:v>
                </c:pt>
                <c:pt idx="92">
                  <c:v>0.96567837385484201</c:v>
                </c:pt>
                <c:pt idx="93">
                  <c:v>0.810547005110413</c:v>
                </c:pt>
                <c:pt idx="94">
                  <c:v>0.68694748556843399</c:v>
                </c:pt>
                <c:pt idx="95">
                  <c:v>0.60681303116372598</c:v>
                </c:pt>
                <c:pt idx="96">
                  <c:v>0.60109373505100305</c:v>
                </c:pt>
                <c:pt idx="97">
                  <c:v>0.77790372490236304</c:v>
                </c:pt>
                <c:pt idx="98">
                  <c:v>0.61355297991952995</c:v>
                </c:pt>
                <c:pt idx="99">
                  <c:v>0.607009489949355</c:v>
                </c:pt>
                <c:pt idx="100">
                  <c:v>0.60310542736789996</c:v>
                </c:pt>
                <c:pt idx="101">
                  <c:v>0.96183963737754896</c:v>
                </c:pt>
                <c:pt idx="102">
                  <c:v>1.0931739738332</c:v>
                </c:pt>
                <c:pt idx="103">
                  <c:v>0.82638332057214603</c:v>
                </c:pt>
                <c:pt idx="104">
                  <c:v>0.73146794351734301</c:v>
                </c:pt>
                <c:pt idx="105">
                  <c:v>0.70884526037894102</c:v>
                </c:pt>
                <c:pt idx="106">
                  <c:v>1.20594729132112</c:v>
                </c:pt>
                <c:pt idx="107">
                  <c:v>1.3151609586591499</c:v>
                </c:pt>
                <c:pt idx="108">
                  <c:v>1.07814412199008</c:v>
                </c:pt>
                <c:pt idx="109">
                  <c:v>0.64447080451190997</c:v>
                </c:pt>
                <c:pt idx="110">
                  <c:v>0.95479702112842402</c:v>
                </c:pt>
                <c:pt idx="111">
                  <c:v>1.4201935475440399</c:v>
                </c:pt>
                <c:pt idx="112">
                  <c:v>1.5320589602505199</c:v>
                </c:pt>
                <c:pt idx="113">
                  <c:v>0.61961196088557802</c:v>
                </c:pt>
                <c:pt idx="114">
                  <c:v>0.83906213235784399</c:v>
                </c:pt>
                <c:pt idx="115">
                  <c:v>1.2061848974223199</c:v>
                </c:pt>
                <c:pt idx="116">
                  <c:v>1.6530639070021</c:v>
                </c:pt>
                <c:pt idx="117">
                  <c:v>2.0159514911557501</c:v>
                </c:pt>
                <c:pt idx="118">
                  <c:v>1.89959941995096</c:v>
                </c:pt>
                <c:pt idx="119">
                  <c:v>1.79098509849472</c:v>
                </c:pt>
                <c:pt idx="120">
                  <c:v>1.69494874850097</c:v>
                </c:pt>
                <c:pt idx="121">
                  <c:v>1.60256221133447</c:v>
                </c:pt>
                <c:pt idx="122">
                  <c:v>1.53391569092306</c:v>
                </c:pt>
                <c:pt idx="123">
                  <c:v>1.4709322791038399</c:v>
                </c:pt>
                <c:pt idx="124">
                  <c:v>1.42745402299771</c:v>
                </c:pt>
                <c:pt idx="125">
                  <c:v>1.3945027819903</c:v>
                </c:pt>
                <c:pt idx="126">
                  <c:v>1.38425056642525</c:v>
                </c:pt>
                <c:pt idx="127">
                  <c:v>1.77839471955508</c:v>
                </c:pt>
                <c:pt idx="128">
                  <c:v>1.55140299735233</c:v>
                </c:pt>
                <c:pt idx="129">
                  <c:v>1.33969653593936</c:v>
                </c:pt>
                <c:pt idx="130">
                  <c:v>1.14523955414801</c:v>
                </c:pt>
                <c:pt idx="131">
                  <c:v>0.96724534370702497</c:v>
                </c:pt>
                <c:pt idx="132">
                  <c:v>0.81531877903806005</c:v>
                </c:pt>
                <c:pt idx="133">
                  <c:v>0.693889927328734</c:v>
                </c:pt>
                <c:pt idx="134">
                  <c:v>0.61378170678354205</c:v>
                </c:pt>
                <c:pt idx="135">
                  <c:v>0.61035631735616402</c:v>
                </c:pt>
                <c:pt idx="136">
                  <c:v>0.78138342627777901</c:v>
                </c:pt>
                <c:pt idx="137">
                  <c:v>0.61888494929862004</c:v>
                </c:pt>
                <c:pt idx="138">
                  <c:v>0.60393581907030702</c:v>
                </c:pt>
                <c:pt idx="139">
                  <c:v>0.61250502846739097</c:v>
                </c:pt>
                <c:pt idx="140">
                  <c:v>0.96497363218492604</c:v>
                </c:pt>
                <c:pt idx="141">
                  <c:v>1.0961531118462</c:v>
                </c:pt>
                <c:pt idx="142">
                  <c:v>0.82909421362862101</c:v>
                </c:pt>
                <c:pt idx="143">
                  <c:v>0.73625005088371298</c:v>
                </c:pt>
                <c:pt idx="144">
                  <c:v>0.712568723736414</c:v>
                </c:pt>
                <c:pt idx="145">
                  <c:v>1.20811318859061</c:v>
                </c:pt>
                <c:pt idx="146">
                  <c:v>1.3161425674282301</c:v>
                </c:pt>
                <c:pt idx="147">
                  <c:v>1.0803604048297</c:v>
                </c:pt>
                <c:pt idx="148">
                  <c:v>0.64538064230383796</c:v>
                </c:pt>
                <c:pt idx="149">
                  <c:v>0.957829545903914</c:v>
                </c:pt>
                <c:pt idx="150">
                  <c:v>1.42237877245952</c:v>
                </c:pt>
                <c:pt idx="151">
                  <c:v>1.53516417524229</c:v>
                </c:pt>
                <c:pt idx="152">
                  <c:v>0.62303920032655402</c:v>
                </c:pt>
                <c:pt idx="153">
                  <c:v>0.84360298333022898</c:v>
                </c:pt>
                <c:pt idx="154">
                  <c:v>1.20858230540583</c:v>
                </c:pt>
                <c:pt idx="155">
                  <c:v>1.6541995551553801</c:v>
                </c:pt>
                <c:pt idx="156">
                  <c:v>2.0169035446825698</c:v>
                </c:pt>
                <c:pt idx="157">
                  <c:v>1.90016469967622</c:v>
                </c:pt>
                <c:pt idx="158">
                  <c:v>1.7931677764718399</c:v>
                </c:pt>
                <c:pt idx="159">
                  <c:v>1.69748447157599</c:v>
                </c:pt>
                <c:pt idx="160">
                  <c:v>1.60449970222896</c:v>
                </c:pt>
                <c:pt idx="161">
                  <c:v>1.5370382820969499</c:v>
                </c:pt>
                <c:pt idx="162">
                  <c:v>1.4741379362937701</c:v>
                </c:pt>
                <c:pt idx="163">
                  <c:v>1.4303165023420401</c:v>
                </c:pt>
                <c:pt idx="164">
                  <c:v>1.39808623087633</c:v>
                </c:pt>
                <c:pt idx="165">
                  <c:v>1.3891042378332299</c:v>
                </c:pt>
                <c:pt idx="166">
                  <c:v>1.78116857313438</c:v>
                </c:pt>
                <c:pt idx="167">
                  <c:v>1.5552389234456701</c:v>
                </c:pt>
                <c:pt idx="168">
                  <c:v>1.34327062830166</c:v>
                </c:pt>
                <c:pt idx="169">
                  <c:v>1.1497402366871701</c:v>
                </c:pt>
                <c:pt idx="170">
                  <c:v>0.97283920038932103</c:v>
                </c:pt>
                <c:pt idx="171">
                  <c:v>0.81736187893113199</c:v>
                </c:pt>
                <c:pt idx="172">
                  <c:v>0.69830132682481705</c:v>
                </c:pt>
                <c:pt idx="173">
                  <c:v>0.61902067810030204</c:v>
                </c:pt>
                <c:pt idx="174">
                  <c:v>0.61918691726249198</c:v>
                </c:pt>
                <c:pt idx="175">
                  <c:v>0.79048934559945305</c:v>
                </c:pt>
                <c:pt idx="176">
                  <c:v>0.622003349621153</c:v>
                </c:pt>
                <c:pt idx="177">
                  <c:v>0.62483352393163305</c:v>
                </c:pt>
                <c:pt idx="178">
                  <c:v>0.60792833802661606</c:v>
                </c:pt>
                <c:pt idx="179">
                  <c:v>0.96615266662475896</c:v>
                </c:pt>
                <c:pt idx="180">
                  <c:v>1.1008342035429799</c:v>
                </c:pt>
                <c:pt idx="181">
                  <c:v>0.83355834818013497</c:v>
                </c:pt>
                <c:pt idx="182">
                  <c:v>0.737549421136664</c:v>
                </c:pt>
                <c:pt idx="183">
                  <c:v>0.71479790369936302</c:v>
                </c:pt>
                <c:pt idx="184">
                  <c:v>1.2084879916107001</c:v>
                </c:pt>
                <c:pt idx="185">
                  <c:v>1.3190225671403</c:v>
                </c:pt>
                <c:pt idx="186">
                  <c:v>1.08812468601701</c:v>
                </c:pt>
                <c:pt idx="187">
                  <c:v>0.65042070794096596</c:v>
                </c:pt>
                <c:pt idx="188">
                  <c:v>0.96222261458789804</c:v>
                </c:pt>
                <c:pt idx="189">
                  <c:v>1.4260685936030399</c:v>
                </c:pt>
                <c:pt idx="190">
                  <c:v>1.5367615429222099</c:v>
                </c:pt>
                <c:pt idx="191">
                  <c:v>0.62867303133979202</c:v>
                </c:pt>
                <c:pt idx="192">
                  <c:v>0.846815574830731</c:v>
                </c:pt>
                <c:pt idx="193">
                  <c:v>1.2090252583471199</c:v>
                </c:pt>
                <c:pt idx="194">
                  <c:v>1.6572291873268701</c:v>
                </c:pt>
                <c:pt idx="195">
                  <c:v>2.0196961382382401</c:v>
                </c:pt>
                <c:pt idx="196">
                  <c:v>1.9029372724018501</c:v>
                </c:pt>
                <c:pt idx="197">
                  <c:v>1.7958013399791599</c:v>
                </c:pt>
                <c:pt idx="198">
                  <c:v>1.7012168768976801</c:v>
                </c:pt>
                <c:pt idx="199">
                  <c:v>1.6055744824329801</c:v>
                </c:pt>
                <c:pt idx="200">
                  <c:v>1.54318665881891</c:v>
                </c:pt>
                <c:pt idx="201">
                  <c:v>1.4784521279843199</c:v>
                </c:pt>
                <c:pt idx="202">
                  <c:v>1.43712995349689</c:v>
                </c:pt>
                <c:pt idx="203">
                  <c:v>1.4046936673770201</c:v>
                </c:pt>
                <c:pt idx="204">
                  <c:v>1.3980617690692001</c:v>
                </c:pt>
                <c:pt idx="205">
                  <c:v>1.78504817529668</c:v>
                </c:pt>
                <c:pt idx="206">
                  <c:v>1.5584483501979201</c:v>
                </c:pt>
                <c:pt idx="207">
                  <c:v>1.3477763087091601</c:v>
                </c:pt>
                <c:pt idx="208">
                  <c:v>1.15511615759112</c:v>
                </c:pt>
                <c:pt idx="209">
                  <c:v>0.98119097740429795</c:v>
                </c:pt>
                <c:pt idx="210">
                  <c:v>0.82716568739905805</c:v>
                </c:pt>
                <c:pt idx="211">
                  <c:v>0.705146904104761</c:v>
                </c:pt>
                <c:pt idx="212">
                  <c:v>0.62699751592689701</c:v>
                </c:pt>
                <c:pt idx="213">
                  <c:v>0.64098634685893896</c:v>
                </c:pt>
                <c:pt idx="214">
                  <c:v>0.796399892753762</c:v>
                </c:pt>
                <c:pt idx="215">
                  <c:v>0.634955470749335</c:v>
                </c:pt>
                <c:pt idx="216">
                  <c:v>0.63042372937179103</c:v>
                </c:pt>
                <c:pt idx="217">
                  <c:v>0.63348421509108099</c:v>
                </c:pt>
                <c:pt idx="218">
                  <c:v>0.97125830756284603</c:v>
                </c:pt>
                <c:pt idx="219">
                  <c:v>1.10871149432115</c:v>
                </c:pt>
                <c:pt idx="220">
                  <c:v>0.84596219696542496</c:v>
                </c:pt>
                <c:pt idx="221">
                  <c:v>0.74712073440003501</c:v>
                </c:pt>
                <c:pt idx="222">
                  <c:v>0.72528450665986499</c:v>
                </c:pt>
                <c:pt idx="223">
                  <c:v>1.21775157697395</c:v>
                </c:pt>
                <c:pt idx="224">
                  <c:v>1.3270845791394901</c:v>
                </c:pt>
                <c:pt idx="225">
                  <c:v>1.09417584802432</c:v>
                </c:pt>
                <c:pt idx="226">
                  <c:v>0.66222775638630504</c:v>
                </c:pt>
                <c:pt idx="227">
                  <c:v>0.97067304788018405</c:v>
                </c:pt>
                <c:pt idx="228">
                  <c:v>1.4334119555762701</c:v>
                </c:pt>
                <c:pt idx="229">
                  <c:v>1.5409590332424801</c:v>
                </c:pt>
                <c:pt idx="230">
                  <c:v>0.64029200406035103</c:v>
                </c:pt>
                <c:pt idx="231">
                  <c:v>0.85312467208282405</c:v>
                </c:pt>
                <c:pt idx="232">
                  <c:v>1.2213896231242001</c:v>
                </c:pt>
                <c:pt idx="233">
                  <c:v>1.6616488190643599</c:v>
                </c:pt>
                <c:pt idx="234">
                  <c:v>2.0289473767219999</c:v>
                </c:pt>
                <c:pt idx="235">
                  <c:v>1.91352999322529</c:v>
                </c:pt>
                <c:pt idx="236">
                  <c:v>1.80602672240523</c:v>
                </c:pt>
                <c:pt idx="237">
                  <c:v>1.71939109887959</c:v>
                </c:pt>
                <c:pt idx="238">
                  <c:v>1.6102207862239799</c:v>
                </c:pt>
                <c:pt idx="239">
                  <c:v>1.5585786681199101</c:v>
                </c:pt>
                <c:pt idx="240">
                  <c:v>1.49278922889104</c:v>
                </c:pt>
                <c:pt idx="241">
                  <c:v>1.4561856949283301</c:v>
                </c:pt>
                <c:pt idx="242">
                  <c:v>1.4268311073542901</c:v>
                </c:pt>
                <c:pt idx="243">
                  <c:v>1.4306767333622801</c:v>
                </c:pt>
                <c:pt idx="244">
                  <c:v>1.7974415651331599</c:v>
                </c:pt>
                <c:pt idx="245">
                  <c:v>1.5708095594048901</c:v>
                </c:pt>
                <c:pt idx="246">
                  <c:v>1.36415440424998</c:v>
                </c:pt>
                <c:pt idx="247">
                  <c:v>1.1744054263319199</c:v>
                </c:pt>
                <c:pt idx="248">
                  <c:v>1.0031391649607899</c:v>
                </c:pt>
                <c:pt idx="249">
                  <c:v>0.85007980808635597</c:v>
                </c:pt>
                <c:pt idx="250">
                  <c:v>0.72895738987867598</c:v>
                </c:pt>
                <c:pt idx="251">
                  <c:v>0.67261598479127505</c:v>
                </c:pt>
                <c:pt idx="252">
                  <c:v>0.70712382133605201</c:v>
                </c:pt>
                <c:pt idx="253">
                  <c:v>0.83938633178565802</c:v>
                </c:pt>
                <c:pt idx="254">
                  <c:v>0.67161975003391705</c:v>
                </c:pt>
                <c:pt idx="255">
                  <c:v>0.69244983190043696</c:v>
                </c:pt>
                <c:pt idx="256">
                  <c:v>0.699503927585851</c:v>
                </c:pt>
                <c:pt idx="257">
                  <c:v>0.99590062192849904</c:v>
                </c:pt>
                <c:pt idx="258">
                  <c:v>1.1263842818891701</c:v>
                </c:pt>
                <c:pt idx="259">
                  <c:v>0.87025636808990203</c:v>
                </c:pt>
                <c:pt idx="260">
                  <c:v>0.76795878935568795</c:v>
                </c:pt>
                <c:pt idx="261">
                  <c:v>0.75486218138234795</c:v>
                </c:pt>
                <c:pt idx="262">
                  <c:v>1.2353766780642299</c:v>
                </c:pt>
                <c:pt idx="263">
                  <c:v>1.3438627661032401</c:v>
                </c:pt>
                <c:pt idx="264">
                  <c:v>1.11404949011282</c:v>
                </c:pt>
                <c:pt idx="265">
                  <c:v>0.69018456928612204</c:v>
                </c:pt>
                <c:pt idx="266">
                  <c:v>0.99434349990141502</c:v>
                </c:pt>
                <c:pt idx="267">
                  <c:v>1.44459378255215</c:v>
                </c:pt>
                <c:pt idx="268">
                  <c:v>1.55222530718841</c:v>
                </c:pt>
                <c:pt idx="269">
                  <c:v>0.67855109905470301</c:v>
                </c:pt>
                <c:pt idx="270">
                  <c:v>0.86951474216549596</c:v>
                </c:pt>
                <c:pt idx="271">
                  <c:v>1.2342222571948001</c:v>
                </c:pt>
                <c:pt idx="272">
                  <c:v>1.67391244826904</c:v>
                </c:pt>
              </c:numCache>
            </c:numRef>
          </c:xVal>
          <c:yVal>
            <c:numRef>
              <c:f>'Training data'!$T$2:$T$274</c:f>
              <c:numCache>
                <c:formatCode>0.000</c:formatCode>
                <c:ptCount val="273"/>
                <c:pt idx="0">
                  <c:v>2.0119029103153632</c:v>
                </c:pt>
                <c:pt idx="1">
                  <c:v>1.8962247243227233</c:v>
                </c:pt>
                <c:pt idx="2">
                  <c:v>1.7873372283892233</c:v>
                </c:pt>
                <c:pt idx="3">
                  <c:v>1.6885208910236953</c:v>
                </c:pt>
                <c:pt idx="4">
                  <c:v>1.6014729023079817</c:v>
                </c:pt>
                <c:pt idx="5">
                  <c:v>1.5270464322066184</c:v>
                </c:pt>
                <c:pt idx="6">
                  <c:v>1.4658031755225416</c:v>
                </c:pt>
                <c:pt idx="7">
                  <c:v>1.4183071933987863</c:v>
                </c:pt>
                <c:pt idx="8">
                  <c:v>1.3854971361654087</c:v>
                </c:pt>
                <c:pt idx="9">
                  <c:v>1.3715097031760537</c:v>
                </c:pt>
                <c:pt idx="10">
                  <c:v>1.7738877195047629</c:v>
                </c:pt>
                <c:pt idx="11">
                  <c:v>1.5449643068277046</c:v>
                </c:pt>
                <c:pt idx="12">
                  <c:v>1.3325157713751545</c:v>
                </c:pt>
                <c:pt idx="13">
                  <c:v>1.1353705909171197</c:v>
                </c:pt>
                <c:pt idx="14">
                  <c:v>0.95571529359007767</c:v>
                </c:pt>
                <c:pt idx="15">
                  <c:v>0.8003549801087575</c:v>
                </c:pt>
                <c:pt idx="16">
                  <c:v>0.67729291984465001</c:v>
                </c:pt>
                <c:pt idx="17">
                  <c:v>0.59623934528248734</c:v>
                </c:pt>
                <c:pt idx="18">
                  <c:v>0.58401326008458587</c:v>
                </c:pt>
                <c:pt idx="19">
                  <c:v>0.7639826600261469</c:v>
                </c:pt>
                <c:pt idx="20">
                  <c:v>0.6024036062215824</c:v>
                </c:pt>
                <c:pt idx="21">
                  <c:v>0.5819338832624229</c:v>
                </c:pt>
                <c:pt idx="22">
                  <c:v>0.58079625957166936</c:v>
                </c:pt>
                <c:pt idx="23">
                  <c:v>0.94968175236159158</c:v>
                </c:pt>
                <c:pt idx="24">
                  <c:v>1.0859035975246041</c:v>
                </c:pt>
                <c:pt idx="25">
                  <c:v>0.81941435329372692</c:v>
                </c:pt>
                <c:pt idx="26">
                  <c:v>0.72194470595859472</c:v>
                </c:pt>
                <c:pt idx="27">
                  <c:v>0.69796431549144278</c:v>
                </c:pt>
                <c:pt idx="28">
                  <c:v>1.2003733162383672</c:v>
                </c:pt>
                <c:pt idx="29">
                  <c:v>1.3079954860248773</c:v>
                </c:pt>
                <c:pt idx="30">
                  <c:v>1.0722902523853266</c:v>
                </c:pt>
                <c:pt idx="31">
                  <c:v>0.62898828738644774</c:v>
                </c:pt>
                <c:pt idx="32">
                  <c:v>0.94508414977053734</c:v>
                </c:pt>
                <c:pt idx="33">
                  <c:v>1.4160542413018944</c:v>
                </c:pt>
                <c:pt idx="34">
                  <c:v>1.5284649892994751</c:v>
                </c:pt>
                <c:pt idx="35">
                  <c:v>0.60294362745140395</c:v>
                </c:pt>
                <c:pt idx="36">
                  <c:v>0.83329598772049718</c:v>
                </c:pt>
                <c:pt idx="37">
                  <c:v>1.2011510334960063</c:v>
                </c:pt>
                <c:pt idx="38">
                  <c:v>1.6474673585581043</c:v>
                </c:pt>
                <c:pt idx="39">
                  <c:v>2.0135646028738279</c:v>
                </c:pt>
                <c:pt idx="40">
                  <c:v>1.8980964834067122</c:v>
                </c:pt>
                <c:pt idx="41">
                  <c:v>1.7894069772851742</c:v>
                </c:pt>
                <c:pt idx="42">
                  <c:v>1.6907858612974465</c:v>
                </c:pt>
                <c:pt idx="43">
                  <c:v>1.6039363515249279</c:v>
                </c:pt>
                <c:pt idx="44">
                  <c:v>1.529715415572904</c:v>
                </c:pt>
                <c:pt idx="45">
                  <c:v>1.4686947134106032</c:v>
                </c:pt>
                <c:pt idx="46">
                  <c:v>1.4214780694949671</c:v>
                </c:pt>
                <c:pt idx="47">
                  <c:v>1.3891609798769919</c:v>
                </c:pt>
                <c:pt idx="48">
                  <c:v>1.3766595248876281</c:v>
                </c:pt>
                <c:pt idx="49">
                  <c:v>1.7759763222153742</c:v>
                </c:pt>
                <c:pt idx="50">
                  <c:v>1.5475233392542473</c:v>
                </c:pt>
                <c:pt idx="51">
                  <c:v>1.3356487436903577</c:v>
                </c:pt>
                <c:pt idx="52">
                  <c:v>1.1391311909471624</c:v>
                </c:pt>
                <c:pt idx="53">
                  <c:v>0.96005735037934281</c:v>
                </c:pt>
                <c:pt idx="54">
                  <c:v>0.80519266349658891</c:v>
                </c:pt>
                <c:pt idx="55">
                  <c:v>0.68266942051623825</c:v>
                </c:pt>
                <c:pt idx="56">
                  <c:v>0.60279816514643636</c:v>
                </c:pt>
                <c:pt idx="57">
                  <c:v>0.59470896302538856</c:v>
                </c:pt>
                <c:pt idx="58">
                  <c:v>0.77054744217972015</c:v>
                </c:pt>
                <c:pt idx="59">
                  <c:v>0.61023859457240381</c:v>
                </c:pt>
                <c:pt idx="60">
                  <c:v>0.59089643006639969</c:v>
                </c:pt>
                <c:pt idx="61">
                  <c:v>0.59070751143915035</c:v>
                </c:pt>
                <c:pt idx="62">
                  <c:v>0.95450502945163018</c:v>
                </c:pt>
                <c:pt idx="63">
                  <c:v>1.090009361381606</c:v>
                </c:pt>
                <c:pt idx="64">
                  <c:v>0.82427376654530382</c:v>
                </c:pt>
                <c:pt idx="65">
                  <c:v>0.72710409281571964</c:v>
                </c:pt>
                <c:pt idx="66">
                  <c:v>0.70350402559327496</c:v>
                </c:pt>
                <c:pt idx="67">
                  <c:v>1.2040040198564119</c:v>
                </c:pt>
                <c:pt idx="68">
                  <c:v>1.3112409211114857</c:v>
                </c:pt>
                <c:pt idx="69">
                  <c:v>1.0762657097005839</c:v>
                </c:pt>
                <c:pt idx="70">
                  <c:v>0.63494262019294756</c:v>
                </c:pt>
                <c:pt idx="71">
                  <c:v>0.94948801821307027</c:v>
                </c:pt>
                <c:pt idx="72">
                  <c:v>1.4189613062068356</c:v>
                </c:pt>
                <c:pt idx="73">
                  <c:v>1.5310694036364565</c:v>
                </c:pt>
                <c:pt idx="74">
                  <c:v>0.60930058830570644</c:v>
                </c:pt>
                <c:pt idx="75">
                  <c:v>0.83802840874734963</c:v>
                </c:pt>
                <c:pt idx="76">
                  <c:v>1.2046986879172665</c:v>
                </c:pt>
                <c:pt idx="77">
                  <c:v>1.6498013473931556</c:v>
                </c:pt>
                <c:pt idx="78">
                  <c:v>2.0152263224580746</c:v>
                </c:pt>
                <c:pt idx="79">
                  <c:v>1.8999672900513616</c:v>
                </c:pt>
                <c:pt idx="80">
                  <c:v>1.7914748638154705</c:v>
                </c:pt>
                <c:pt idx="81">
                  <c:v>1.6930483006681234</c:v>
                </c:pt>
                <c:pt idx="82">
                  <c:v>1.6063971890920563</c:v>
                </c:pt>
                <c:pt idx="83">
                  <c:v>1.5323829140932197</c:v>
                </c:pt>
                <c:pt idx="84">
                  <c:v>1.4715883772751357</c:v>
                </c:pt>
                <c:pt idx="85">
                  <c:v>1.4246604635238156</c:v>
                </c:pt>
                <c:pt idx="86">
                  <c:v>1.3928623919784087</c:v>
                </c:pt>
                <c:pt idx="87">
                  <c:v>1.3819391320212129</c:v>
                </c:pt>
                <c:pt idx="88">
                  <c:v>1.7780625491167412</c:v>
                </c:pt>
                <c:pt idx="89">
                  <c:v>1.5500768731341137</c:v>
                </c:pt>
                <c:pt idx="90">
                  <c:v>1.3387736721261563</c:v>
                </c:pt>
                <c:pt idx="91">
                  <c:v>1.1428837363957778</c:v>
                </c:pt>
                <c:pt idx="92">
                  <c:v>0.96439550797560969</c:v>
                </c:pt>
                <c:pt idx="93">
                  <c:v>0.81003687474149599</c:v>
                </c:pt>
                <c:pt idx="94">
                  <c:v>0.68807706802211011</c:v>
                </c:pt>
                <c:pt idx="95">
                  <c:v>0.60946167434787502</c:v>
                </c:pt>
                <c:pt idx="96">
                  <c:v>0.60575371530080835</c:v>
                </c:pt>
                <c:pt idx="97">
                  <c:v>0.7772263929509583</c:v>
                </c:pt>
                <c:pt idx="98">
                  <c:v>0.61825800918780471</c:v>
                </c:pt>
                <c:pt idx="99">
                  <c:v>0.60011056470067436</c:v>
                </c:pt>
                <c:pt idx="100">
                  <c:v>0.60092464292675662</c:v>
                </c:pt>
                <c:pt idx="101">
                  <c:v>0.95935491354956515</c:v>
                </c:pt>
                <c:pt idx="102">
                  <c:v>1.0941196370342552</c:v>
                </c:pt>
                <c:pt idx="103">
                  <c:v>0.82914339844055274</c:v>
                </c:pt>
                <c:pt idx="104">
                  <c:v>0.73228351225824606</c:v>
                </c:pt>
                <c:pt idx="105">
                  <c:v>0.70908697667962572</c:v>
                </c:pt>
                <c:pt idx="106">
                  <c:v>1.2076315544685139</c:v>
                </c:pt>
                <c:pt idx="107">
                  <c:v>1.3144805337705758</c:v>
                </c:pt>
                <c:pt idx="108">
                  <c:v>1.0802345302576226</c:v>
                </c:pt>
                <c:pt idx="109">
                  <c:v>0.64096357076893595</c:v>
                </c:pt>
                <c:pt idx="110">
                  <c:v>0.9538902649148463</c:v>
                </c:pt>
                <c:pt idx="111">
                  <c:v>1.4218621848063786</c:v>
                </c:pt>
                <c:pt idx="112">
                  <c:v>1.5336684553258468</c:v>
                </c:pt>
                <c:pt idx="113">
                  <c:v>0.61574943445790897</c:v>
                </c:pt>
                <c:pt idx="114">
                  <c:v>0.84276440783118634</c:v>
                </c:pt>
                <c:pt idx="115">
                  <c:v>1.2082379963952206</c:v>
                </c:pt>
                <c:pt idx="116">
                  <c:v>1.6521313787898795</c:v>
                </c:pt>
                <c:pt idx="117">
                  <c:v>2.0160573172519909</c:v>
                </c:pt>
                <c:pt idx="118">
                  <c:v>1.9009024640840881</c:v>
                </c:pt>
                <c:pt idx="119">
                  <c:v>1.7925082448484466</c:v>
                </c:pt>
                <c:pt idx="120">
                  <c:v>1.6941787227685521</c:v>
                </c:pt>
                <c:pt idx="121">
                  <c:v>1.6076268067970791</c:v>
                </c:pt>
                <c:pt idx="122">
                  <c:v>1.5337163332092794</c:v>
                </c:pt>
                <c:pt idx="123">
                  <c:v>1.4730363276258753</c:v>
                </c:pt>
                <c:pt idx="124">
                  <c:v>1.426256507794373</c:v>
                </c:pt>
                <c:pt idx="125">
                  <c:v>1.3947282469609905</c:v>
                </c:pt>
                <c:pt idx="126">
                  <c:v>1.3846303972609384</c:v>
                </c:pt>
                <c:pt idx="127">
                  <c:v>1.7791049007957302</c:v>
                </c:pt>
                <c:pt idx="128">
                  <c:v>1.5513517151409668</c:v>
                </c:pt>
                <c:pt idx="129">
                  <c:v>1.3403332658049267</c:v>
                </c:pt>
                <c:pt idx="130">
                  <c:v>1.1447571501993297</c:v>
                </c:pt>
                <c:pt idx="131">
                  <c:v>0.96656333199127253</c:v>
                </c:pt>
                <c:pt idx="132">
                  <c:v>0.81246177363057259</c:v>
                </c:pt>
                <c:pt idx="133">
                  <c:v>0.69079333331465409</c:v>
                </c:pt>
                <c:pt idx="134">
                  <c:v>0.61283479811151875</c:v>
                </c:pt>
                <c:pt idx="135">
                  <c:v>0.61141273364090565</c:v>
                </c:pt>
                <c:pt idx="136">
                  <c:v>0.78061107415763165</c:v>
                </c:pt>
                <c:pt idx="137">
                  <c:v>0.62234036947294902</c:v>
                </c:pt>
                <c:pt idx="138">
                  <c:v>0.60481648546223443</c:v>
                </c:pt>
                <c:pt idx="139">
                  <c:v>0.60615315138810277</c:v>
                </c:pt>
                <c:pt idx="140">
                  <c:v>0.96179065755110726</c:v>
                </c:pt>
                <c:pt idx="141">
                  <c:v>1.0961768815389643</c:v>
                </c:pt>
                <c:pt idx="142">
                  <c:v>0.83158247799576912</c:v>
                </c:pt>
                <c:pt idx="143">
                  <c:v>0.73488130366751259</c:v>
                </c:pt>
                <c:pt idx="144">
                  <c:v>0.71189568288096017</c:v>
                </c:pt>
                <c:pt idx="145">
                  <c:v>1.2094443972297537</c:v>
                </c:pt>
                <c:pt idx="146">
                  <c:v>1.3160983536605957</c:v>
                </c:pt>
                <c:pt idx="147">
                  <c:v>1.082216634856997</c:v>
                </c:pt>
                <c:pt idx="148">
                  <c:v>0.6440004484508719</c:v>
                </c:pt>
                <c:pt idx="149">
                  <c:v>0.95609103035632881</c:v>
                </c:pt>
                <c:pt idx="150">
                  <c:v>1.4233104678603219</c:v>
                </c:pt>
                <c:pt idx="151">
                  <c:v>1.5349661155831598</c:v>
                </c:pt>
                <c:pt idx="152">
                  <c:v>0.61901019377372335</c:v>
                </c:pt>
                <c:pt idx="153">
                  <c:v>0.84513405305828471</c:v>
                </c:pt>
                <c:pt idx="154">
                  <c:v>1.2100046774871602</c:v>
                </c:pt>
                <c:pt idx="155">
                  <c:v>1.6532950453375668</c:v>
                </c:pt>
                <c:pt idx="156">
                  <c:v>2.0174426898961864</c:v>
                </c:pt>
                <c:pt idx="157">
                  <c:v>1.9024609332633242</c:v>
                </c:pt>
                <c:pt idx="158">
                  <c:v>1.7942299109840285</c:v>
                </c:pt>
                <c:pt idx="159">
                  <c:v>1.696061797590436</c:v>
                </c:pt>
                <c:pt idx="160">
                  <c:v>1.6096752414660693</c:v>
                </c:pt>
                <c:pt idx="161">
                  <c:v>1.5359385385059801</c:v>
                </c:pt>
                <c:pt idx="162">
                  <c:v>1.4754517022088551</c:v>
                </c:pt>
                <c:pt idx="163">
                  <c:v>1.428924531234075</c:v>
                </c:pt>
                <c:pt idx="164">
                  <c:v>1.3978619911763359</c:v>
                </c:pt>
                <c:pt idx="165">
                  <c:v>1.389196118963608</c:v>
                </c:pt>
                <c:pt idx="166">
                  <c:v>1.7808412121602206</c:v>
                </c:pt>
                <c:pt idx="167">
                  <c:v>1.5534737984854929</c:v>
                </c:pt>
                <c:pt idx="168">
                  <c:v>1.3429285479273823</c:v>
                </c:pt>
                <c:pt idx="169">
                  <c:v>1.1478755072618967</c:v>
                </c:pt>
                <c:pt idx="170">
                  <c:v>0.9701748178292926</c:v>
                </c:pt>
                <c:pt idx="171">
                  <c:v>0.81650791708979131</c:v>
                </c:pt>
                <c:pt idx="172">
                  <c:v>0.69533998753693826</c:v>
                </c:pt>
                <c:pt idx="173">
                  <c:v>0.61852102442859414</c:v>
                </c:pt>
                <c:pt idx="174">
                  <c:v>0.62105504517986754</c:v>
                </c:pt>
                <c:pt idx="175">
                  <c:v>0.78632265171517746</c:v>
                </c:pt>
                <c:pt idx="176">
                  <c:v>0.62925698060632629</c:v>
                </c:pt>
                <c:pt idx="177">
                  <c:v>0.61281261031891276</c:v>
                </c:pt>
                <c:pt idx="178">
                  <c:v>0.61505251119571924</c:v>
                </c:pt>
                <c:pt idx="179">
                  <c:v>0.96586743661266594</c:v>
                </c:pt>
                <c:pt idx="180">
                  <c:v>1.0996093490931182</c:v>
                </c:pt>
                <c:pt idx="181">
                  <c:v>0.83565455973101055</c:v>
                </c:pt>
                <c:pt idx="182">
                  <c:v>0.73922376292609615</c:v>
                </c:pt>
                <c:pt idx="183">
                  <c:v>0.71660386875920301</c:v>
                </c:pt>
                <c:pt idx="184">
                  <c:v>1.2124648169337713</c:v>
                </c:pt>
                <c:pt idx="185">
                  <c:v>1.3187920638524893</c:v>
                </c:pt>
                <c:pt idx="186">
                  <c:v>1.0855169948803893</c:v>
                </c:pt>
                <c:pt idx="187">
                  <c:v>0.64910309568499858</c:v>
                </c:pt>
                <c:pt idx="188">
                  <c:v>0.95975880981961026</c:v>
                </c:pt>
                <c:pt idx="189">
                  <c:v>1.4257213159736284</c:v>
                </c:pt>
                <c:pt idx="190">
                  <c:v>1.5371263295094888</c:v>
                </c:pt>
                <c:pt idx="191">
                  <c:v>0.62450135636983095</c:v>
                </c:pt>
                <c:pt idx="192">
                  <c:v>0.84908634635883229</c:v>
                </c:pt>
                <c:pt idx="193">
                  <c:v>1.212944969687922</c:v>
                </c:pt>
                <c:pt idx="194">
                  <c:v>1.6552326861577031</c:v>
                </c:pt>
                <c:pt idx="195">
                  <c:v>2.0202157928592546</c:v>
                </c:pt>
                <c:pt idx="196">
                  <c:v>1.905578241138232</c:v>
                </c:pt>
                <c:pt idx="197">
                  <c:v>1.7976718674397836</c:v>
                </c:pt>
                <c:pt idx="198">
                  <c:v>1.6998254608577001</c:v>
                </c:pt>
                <c:pt idx="199">
                  <c:v>1.6137699516033173</c:v>
                </c:pt>
                <c:pt idx="200">
                  <c:v>1.5403840340494426</c:v>
                </c:pt>
                <c:pt idx="201">
                  <c:v>1.4802928100148105</c:v>
                </c:pt>
                <c:pt idx="202">
                  <c:v>1.4342943311701979</c:v>
                </c:pt>
                <c:pt idx="203">
                  <c:v>1.404227334075089</c:v>
                </c:pt>
                <c:pt idx="204">
                  <c:v>1.3986491714965261</c:v>
                </c:pt>
                <c:pt idx="205">
                  <c:v>1.7843112593658983</c:v>
                </c:pt>
                <c:pt idx="206">
                  <c:v>1.5577090271026144</c:v>
                </c:pt>
                <c:pt idx="207">
                  <c:v>1.3481050445863805</c:v>
                </c:pt>
                <c:pt idx="208">
                  <c:v>1.154098441415266</c:v>
                </c:pt>
                <c:pt idx="209">
                  <c:v>0.97739354108827659</c:v>
                </c:pt>
                <c:pt idx="210">
                  <c:v>0.82462025155202046</c:v>
                </c:pt>
                <c:pt idx="211">
                  <c:v>0.70451233181584305</c:v>
                </c:pt>
                <c:pt idx="212">
                  <c:v>0.63015047727940821</c:v>
                </c:pt>
                <c:pt idx="213">
                  <c:v>0.64117021274058938</c:v>
                </c:pt>
                <c:pt idx="214">
                  <c:v>0.79802768094841925</c:v>
                </c:pt>
                <c:pt idx="215">
                  <c:v>0.64353833079219114</c:v>
                </c:pt>
                <c:pt idx="216">
                  <c:v>0.62941094527094532</c:v>
                </c:pt>
                <c:pt idx="217">
                  <c:v>0.63358313836598401</c:v>
                </c:pt>
                <c:pt idx="218">
                  <c:v>0.97409170233583542</c:v>
                </c:pt>
                <c:pt idx="219">
                  <c:v>1.1064913779720966</c:v>
                </c:pt>
                <c:pt idx="220">
                  <c:v>0.84382805367208369</c:v>
                </c:pt>
                <c:pt idx="221">
                  <c:v>0.74796101522169423</c:v>
                </c:pt>
                <c:pt idx="222">
                  <c:v>0.72612914774715209</c:v>
                </c:pt>
                <c:pt idx="223">
                  <c:v>1.2185039413417382</c:v>
                </c:pt>
                <c:pt idx="224">
                  <c:v>1.3241709925190961</c:v>
                </c:pt>
                <c:pt idx="225">
                  <c:v>1.0921072965422631</c:v>
                </c:pt>
                <c:pt idx="226">
                  <c:v>0.65947345425784376</c:v>
                </c:pt>
                <c:pt idx="227">
                  <c:v>0.96709565957430299</c:v>
                </c:pt>
                <c:pt idx="228">
                  <c:v>1.43053313762842</c:v>
                </c:pt>
                <c:pt idx="229">
                  <c:v>1.5414382579635979</c:v>
                </c:pt>
                <c:pt idx="230">
                  <c:v>0.63570978288501001</c:v>
                </c:pt>
                <c:pt idx="231">
                  <c:v>0.85700406501969373</c:v>
                </c:pt>
                <c:pt idx="232">
                  <c:v>1.218811067164661</c:v>
                </c:pt>
                <c:pt idx="233">
                  <c:v>1.6591022009988039</c:v>
                </c:pt>
                <c:pt idx="234">
                  <c:v>2.0285749296121485</c:v>
                </c:pt>
                <c:pt idx="235">
                  <c:v>1.9149544897299915</c:v>
                </c:pt>
                <c:pt idx="236">
                  <c:v>1.8080094122426336</c:v>
                </c:pt>
                <c:pt idx="237">
                  <c:v>1.711121793845976</c:v>
                </c:pt>
                <c:pt idx="238">
                  <c:v>1.6260665931815597</c:v>
                </c:pt>
                <c:pt idx="239">
                  <c:v>1.5537672660119735</c:v>
                </c:pt>
                <c:pt idx="240">
                  <c:v>1.4949532323763348</c:v>
                </c:pt>
                <c:pt idx="241">
                  <c:v>1.4507631709268081</c:v>
                </c:pt>
                <c:pt idx="242">
                  <c:v>1.4242850963039604</c:v>
                </c:pt>
                <c:pt idx="243">
                  <c:v>1.4300387227624591</c:v>
                </c:pt>
                <c:pt idx="244">
                  <c:v>1.7947222685588935</c:v>
                </c:pt>
                <c:pt idx="245">
                  <c:v>1.5703659339543341</c:v>
                </c:pt>
                <c:pt idx="246">
                  <c:v>1.3635465165536189</c:v>
                </c:pt>
                <c:pt idx="247">
                  <c:v>1.1726848740330609</c:v>
                </c:pt>
                <c:pt idx="248">
                  <c:v>0.99905226505084432</c:v>
                </c:pt>
                <c:pt idx="249">
                  <c:v>0.84917835603980341</c:v>
                </c:pt>
                <c:pt idx="250">
                  <c:v>0.73279302649039746</c:v>
                </c:pt>
                <c:pt idx="251">
                  <c:v>0.66744717689526378</c:v>
                </c:pt>
                <c:pt idx="252">
                  <c:v>0.70902086098778194</c:v>
                </c:pt>
                <c:pt idx="253">
                  <c:v>0.83579450189425175</c:v>
                </c:pt>
                <c:pt idx="254">
                  <c:v>0.69053240805941507</c:v>
                </c:pt>
                <c:pt idx="255">
                  <c:v>0.68476342675195834</c:v>
                </c:pt>
                <c:pt idx="256">
                  <c:v>0.69583282338962105</c:v>
                </c:pt>
                <c:pt idx="257">
                  <c:v>0.99947108925868722</c:v>
                </c:pt>
                <c:pt idx="258">
                  <c:v>1.1273454549744153</c:v>
                </c:pt>
                <c:pt idx="259">
                  <c:v>0.86865847306662247</c:v>
                </c:pt>
                <c:pt idx="260">
                  <c:v>0.77469039638484249</c:v>
                </c:pt>
                <c:pt idx="261">
                  <c:v>0.75574995376126775</c:v>
                </c:pt>
                <c:pt idx="262">
                  <c:v>1.2366526787891616</c:v>
                </c:pt>
                <c:pt idx="263">
                  <c:v>1.3402731647666613</c:v>
                </c:pt>
                <c:pt idx="264">
                  <c:v>1.1118266915412116</c:v>
                </c:pt>
                <c:pt idx="265">
                  <c:v>0.69214582521414048</c:v>
                </c:pt>
                <c:pt idx="266">
                  <c:v>0.98916043574850832</c:v>
                </c:pt>
                <c:pt idx="267">
                  <c:v>1.4449169961403467</c:v>
                </c:pt>
                <c:pt idx="268">
                  <c:v>1.5543302150508684</c:v>
                </c:pt>
                <c:pt idx="269">
                  <c:v>0.67145915422506031</c:v>
                </c:pt>
                <c:pt idx="270">
                  <c:v>0.88091582289821246</c:v>
                </c:pt>
                <c:pt idx="271">
                  <c:v>1.2363202201405681</c:v>
                </c:pt>
                <c:pt idx="272">
                  <c:v>1.6706869800878066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5-4613-A6EC-EC8FBC8B9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46208"/>
        <c:axId val="1488045728"/>
      </c:scatterChart>
      <c:valAx>
        <c:axId val="1488046208"/>
        <c:scaling>
          <c:orientation val="minMax"/>
          <c:max val="2.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 b="1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045728"/>
        <c:crosses val="autoZero"/>
        <c:crossBetween val="midCat"/>
      </c:valAx>
      <c:valAx>
        <c:axId val="1488045728"/>
        <c:scaling>
          <c:orientation val="minMax"/>
          <c:max val="2.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 b="1"/>
                  <a:t>m_ann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04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ECD9A1-2C92-470A-9D9D-320911B3442B}">
  <sheetPr/>
  <sheetViews>
    <sheetView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748" cy="628810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97B2DC-301C-7C8E-FBA2-CC2C8374D2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2B8F-3A04-4DCC-B8DF-0C2208CFA9A1}">
  <dimension ref="A1:AC274"/>
  <sheetViews>
    <sheetView zoomScale="90" zoomScaleNormal="90" workbookViewId="0">
      <pane xSplit="13" topLeftCell="N1" activePane="topRight" state="frozen"/>
      <selection pane="topRight" activeCell="K13" sqref="K13"/>
    </sheetView>
  </sheetViews>
  <sheetFormatPr baseColWidth="10" defaultColWidth="0" defaultRowHeight="14.4" zeroHeight="1" x14ac:dyDescent="0.3"/>
  <cols>
    <col min="1" max="21" width="11.5546875" customWidth="1"/>
    <col min="22" max="22" width="12.77734375" customWidth="1"/>
    <col min="23" max="24" width="11.5546875" customWidth="1"/>
    <col min="25" max="29" width="0" hidden="1" customWidth="1"/>
    <col min="30" max="16384" width="11.5546875" hidden="1"/>
  </cols>
  <sheetData>
    <row r="1" spans="1:24" ht="14.4" customHeight="1" x14ac:dyDescent="0.3">
      <c r="A1" s="6" t="s">
        <v>9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11</v>
      </c>
      <c r="H1" s="27" t="s">
        <v>0</v>
      </c>
      <c r="I1" s="3">
        <v>-0.32765494807491558</v>
      </c>
      <c r="J1" s="3">
        <v>0.72687062510093525</v>
      </c>
      <c r="K1" s="3">
        <v>-7.2350039976552774E-2</v>
      </c>
      <c r="L1" s="4">
        <v>3.2862966229499309</v>
      </c>
      <c r="M1" s="13">
        <v>9.1800977337616552E-2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6" t="s">
        <v>7</v>
      </c>
      <c r="T1" s="6" t="s">
        <v>19</v>
      </c>
      <c r="U1" s="6" t="s">
        <v>20</v>
      </c>
      <c r="V1" s="6" t="s">
        <v>10</v>
      </c>
      <c r="W1" s="6" t="s">
        <v>21</v>
      </c>
      <c r="X1" s="6" t="s">
        <v>24</v>
      </c>
    </row>
    <row r="2" spans="1:24" x14ac:dyDescent="0.3">
      <c r="A2" s="9">
        <v>1</v>
      </c>
      <c r="B2" s="9">
        <v>1</v>
      </c>
      <c r="C2" s="9">
        <v>1</v>
      </c>
      <c r="D2" s="9">
        <v>1</v>
      </c>
      <c r="E2" s="9">
        <v>1</v>
      </c>
      <c r="F2" s="9">
        <v>0</v>
      </c>
      <c r="G2" s="9">
        <v>2.01412996122267</v>
      </c>
      <c r="H2" s="27"/>
      <c r="I2" s="3">
        <v>7.3082589879422883</v>
      </c>
      <c r="J2" s="3">
        <v>-7.5692100639142694</v>
      </c>
      <c r="K2" s="3">
        <v>4.0385607449673513</v>
      </c>
      <c r="L2" s="4">
        <v>-0.18144700754674079</v>
      </c>
      <c r="M2" s="13">
        <v>-0.65293346736532132</v>
      </c>
      <c r="N2" s="9">
        <f t="shared" ref="N2:N65" si="0">B2*$I$1+C2*$J$1+D2*$K$1+E2*$L$1+F2*$M$1+$I$4</f>
        <v>3.4163130537187665</v>
      </c>
      <c r="O2" s="9">
        <f t="shared" ref="O2:O65" si="1">$I$2*B2+$J$2*C2+$K$2*D2+$L$2*E2+$M$2*F2+$I$5</f>
        <v>7.3947540055728851</v>
      </c>
      <c r="P2" s="9">
        <f t="shared" ref="P2:P65" si="2">$I$3*B2+$J$3*C2+$K$3*D2+$L$3*E2+$M$3*F2+$I$6</f>
        <v>0.24009168720014706</v>
      </c>
      <c r="Q2" s="9">
        <f>1/(1+EXP(-N2))</f>
        <v>0.96821048701091506</v>
      </c>
      <c r="R2" s="9">
        <f t="shared" ref="R2:S17" si="3">1/(1+EXP(-O2))</f>
        <v>0.99938590952342043</v>
      </c>
      <c r="S2" s="9">
        <f t="shared" si="3"/>
        <v>0.55973624401263322</v>
      </c>
      <c r="T2" s="9">
        <f t="shared" ref="T2:T65" si="4">$I$7*Q2+$J$7*R2+$K$7*S2+$I$8</f>
        <v>2.0119029103153632</v>
      </c>
      <c r="U2" s="14">
        <f>(G2-T2)^2</f>
        <v>4.9597557437360119E-6</v>
      </c>
      <c r="V2" s="14">
        <f>SUM(U2:U274)</f>
        <v>2.8506177209413576E-3</v>
      </c>
      <c r="W2" s="14">
        <f t="shared" ref="W2:W65" si="5">(G2-$V$4)^2</f>
        <v>0.72482368857318702</v>
      </c>
      <c r="X2" s="16">
        <f>100*ABS((T2-G2)/G2)</f>
        <v>0.11057136084480221</v>
      </c>
    </row>
    <row r="3" spans="1:24" x14ac:dyDescent="0.3">
      <c r="A3" s="9">
        <v>2</v>
      </c>
      <c r="B3" s="9">
        <v>0.99805795702633637</v>
      </c>
      <c r="C3" s="9">
        <v>0.99902850661346809</v>
      </c>
      <c r="D3" s="9">
        <v>0.9970883503217095</v>
      </c>
      <c r="E3" s="9">
        <v>0.90500000000000003</v>
      </c>
      <c r="F3" s="9">
        <v>0</v>
      </c>
      <c r="G3" s="9">
        <v>1.8969138290702601</v>
      </c>
      <c r="H3" s="27"/>
      <c r="I3" s="3">
        <v>-14.680256234274914</v>
      </c>
      <c r="J3" s="3">
        <v>16.101272741407691</v>
      </c>
      <c r="K3" s="3">
        <v>4.3409983084039236</v>
      </c>
      <c r="L3" s="4">
        <v>3.3363893344708435</v>
      </c>
      <c r="M3" s="13">
        <v>3.4410405045473963E-2</v>
      </c>
      <c r="N3" s="9">
        <f t="shared" si="0"/>
        <v>3.1042557024936901</v>
      </c>
      <c r="O3" s="9">
        <f t="shared" si="1"/>
        <v>7.3933930816971003</v>
      </c>
      <c r="P3" s="9">
        <f t="shared" si="2"/>
        <v>-7.6637357414373497E-2</v>
      </c>
      <c r="Q3" s="9">
        <f t="shared" ref="Q3:S66" si="6">1/(1+EXP(-N3))</f>
        <v>0.95706794768577452</v>
      </c>
      <c r="R3" s="9">
        <f t="shared" si="3"/>
        <v>0.99938507373835073</v>
      </c>
      <c r="S3" s="9">
        <f t="shared" si="3"/>
        <v>0.48085003249641106</v>
      </c>
      <c r="T3" s="9">
        <f t="shared" si="4"/>
        <v>1.8962247243227233</v>
      </c>
      <c r="U3" s="14">
        <f t="shared" ref="U3:U66" si="7">(G3-T3)^2</f>
        <v>4.7486535307776535E-7</v>
      </c>
      <c r="V3" s="6" t="s">
        <v>22</v>
      </c>
      <c r="W3" s="14">
        <f t="shared" si="5"/>
        <v>0.53897570303592068</v>
      </c>
      <c r="X3" s="16">
        <f t="shared" ref="X3:X66" si="8">100*ABS((T3-G3)/G3)</f>
        <v>3.6327677988122378E-2</v>
      </c>
    </row>
    <row r="4" spans="1:24" x14ac:dyDescent="0.3">
      <c r="A4" s="9">
        <v>3</v>
      </c>
      <c r="B4" s="9">
        <v>0.99152490614171707</v>
      </c>
      <c r="C4" s="9">
        <v>0.99575343641973801</v>
      </c>
      <c r="D4" s="9">
        <v>0.98731433258637347</v>
      </c>
      <c r="E4" s="9">
        <v>0.82000000000000006</v>
      </c>
      <c r="F4" s="9">
        <v>0</v>
      </c>
      <c r="G4" s="9">
        <v>1.78784643102857</v>
      </c>
      <c r="H4" s="28" t="s">
        <v>13</v>
      </c>
      <c r="I4" s="5">
        <v>-0.19684920628063166</v>
      </c>
      <c r="N4" s="9">
        <f t="shared" si="0"/>
        <v>2.825387674246234</v>
      </c>
      <c r="O4" s="9">
        <f t="shared" si="1"/>
        <v>7.3463875794162341</v>
      </c>
      <c r="P4" s="9">
        <f t="shared" si="2"/>
        <v>-0.35948538275853714</v>
      </c>
      <c r="Q4" s="9">
        <f t="shared" si="6"/>
        <v>0.94403240731901883</v>
      </c>
      <c r="R4" s="9">
        <f t="shared" si="3"/>
        <v>0.99935549777894161</v>
      </c>
      <c r="S4" s="9">
        <f t="shared" si="3"/>
        <v>0.41108414596957887</v>
      </c>
      <c r="T4" s="9">
        <f t="shared" si="4"/>
        <v>1.7873372283892233</v>
      </c>
      <c r="U4" s="14">
        <f t="shared" si="7"/>
        <v>2.5928732791767457E-7</v>
      </c>
      <c r="V4" s="9">
        <f>AVERAGE(G2:G274)</f>
        <v>1.1627641828564104</v>
      </c>
      <c r="W4" s="14">
        <f t="shared" si="5"/>
        <v>0.39072781697996134</v>
      </c>
      <c r="X4" s="16">
        <f t="shared" si="8"/>
        <v>2.8481341043021132E-2</v>
      </c>
    </row>
    <row r="5" spans="1:24" x14ac:dyDescent="0.3">
      <c r="A5" s="9">
        <v>4</v>
      </c>
      <c r="B5" s="9">
        <v>0.97911342554320058</v>
      </c>
      <c r="C5" s="9">
        <v>0.98950160461881032</v>
      </c>
      <c r="D5" s="9">
        <v>0.96883430567881712</v>
      </c>
      <c r="E5" s="9">
        <v>0.74500000000000011</v>
      </c>
      <c r="F5" s="9">
        <v>0</v>
      </c>
      <c r="G5" s="9">
        <v>1.6907984306621799</v>
      </c>
      <c r="H5" s="28"/>
      <c r="I5" s="5">
        <v>3.7985913441242558</v>
      </c>
      <c r="N5" s="9">
        <f t="shared" si="0"/>
        <v>2.5797748683523922</v>
      </c>
      <c r="O5" s="9">
        <f t="shared" si="1"/>
        <v>7.241978507295145</v>
      </c>
      <c r="P5" s="9">
        <f t="shared" si="2"/>
        <v>-0.60839508191599734</v>
      </c>
      <c r="Q5" s="9">
        <f t="shared" si="6"/>
        <v>0.92954852709737867</v>
      </c>
      <c r="R5" s="9">
        <f t="shared" si="3"/>
        <v>0.99928461818093217</v>
      </c>
      <c r="S5" s="9">
        <f t="shared" si="3"/>
        <v>0.35242538829835685</v>
      </c>
      <c r="T5" s="9">
        <f t="shared" si="4"/>
        <v>1.6885208910236953</v>
      </c>
      <c r="U5" s="14">
        <f t="shared" si="7"/>
        <v>5.1871868048687865E-6</v>
      </c>
      <c r="V5" s="6" t="s">
        <v>23</v>
      </c>
      <c r="W5" s="14">
        <f t="shared" si="5"/>
        <v>0.27882016685580485</v>
      </c>
      <c r="X5" s="16">
        <f t="shared" si="8"/>
        <v>0.13470201989675842</v>
      </c>
    </row>
    <row r="6" spans="1:24" x14ac:dyDescent="0.3">
      <c r="A6" s="9">
        <v>5</v>
      </c>
      <c r="B6" s="9">
        <v>0.95913394700955001</v>
      </c>
      <c r="C6" s="9">
        <v>0.97935384157593941</v>
      </c>
      <c r="D6" s="9">
        <v>0.93933151558969652</v>
      </c>
      <c r="E6" s="9">
        <v>0.67999999999999994</v>
      </c>
      <c r="F6" s="9">
        <v>0</v>
      </c>
      <c r="G6" s="9">
        <v>1.60262533020281</v>
      </c>
      <c r="H6" s="28"/>
      <c r="I6" s="5">
        <v>-8.8583124628073957</v>
      </c>
      <c r="N6" s="9">
        <f t="shared" si="0"/>
        <v>2.3674703800381733</v>
      </c>
      <c r="O6" s="9">
        <f t="shared" si="1"/>
        <v>7.0654190994471131</v>
      </c>
      <c r="P6" s="9">
        <f t="shared" si="2"/>
        <v>-0.8234199866939278</v>
      </c>
      <c r="Q6" s="9">
        <f t="shared" si="6"/>
        <v>0.91431288550612588</v>
      </c>
      <c r="R6" s="9">
        <f t="shared" si="3"/>
        <v>0.99914659205015488</v>
      </c>
      <c r="S6" s="9">
        <f t="shared" si="3"/>
        <v>0.30503817427822177</v>
      </c>
      <c r="T6" s="9">
        <f t="shared" si="4"/>
        <v>1.6014729023079817</v>
      </c>
      <c r="U6" s="14">
        <f t="shared" si="7"/>
        <v>1.3280900527783377E-6</v>
      </c>
      <c r="V6" s="10">
        <f>SUM(W2:W274)</f>
        <v>47.892198815019405</v>
      </c>
      <c r="W6" s="14">
        <f t="shared" si="5"/>
        <v>0.19347782894489104</v>
      </c>
      <c r="X6" s="16">
        <f t="shared" si="8"/>
        <v>7.1908753288108848E-2</v>
      </c>
    </row>
    <row r="7" spans="1:24" x14ac:dyDescent="0.3">
      <c r="A7" s="9">
        <v>6</v>
      </c>
      <c r="B7" s="9">
        <v>0.92929286340991557</v>
      </c>
      <c r="C7" s="9">
        <v>0.96399837313655024</v>
      </c>
      <c r="D7" s="9">
        <v>0.89583680849456471</v>
      </c>
      <c r="E7" s="9">
        <v>0.625</v>
      </c>
      <c r="F7" s="9">
        <v>0</v>
      </c>
      <c r="G7" s="9">
        <v>1.52844000074346</v>
      </c>
      <c r="H7" s="11" t="s">
        <v>1</v>
      </c>
      <c r="I7" s="7">
        <v>2.0871891758359209</v>
      </c>
      <c r="J7" s="7">
        <v>-1.9607059523626409</v>
      </c>
      <c r="K7" s="7">
        <v>1.1716019247753549</v>
      </c>
      <c r="N7" s="9">
        <f t="shared" si="0"/>
        <v>2.1884870493271094</v>
      </c>
      <c r="O7" s="9">
        <f t="shared" si="1"/>
        <v>6.7978850669945086</v>
      </c>
      <c r="P7" s="9">
        <f t="shared" si="2"/>
        <v>-1.0048996818779461</v>
      </c>
      <c r="Q7" s="9">
        <f t="shared" si="6"/>
        <v>0.89921086947963835</v>
      </c>
      <c r="R7" s="9">
        <f t="shared" si="3"/>
        <v>0.99888511116409628</v>
      </c>
      <c r="S7" s="9">
        <f t="shared" si="3"/>
        <v>0.2679791767389107</v>
      </c>
      <c r="T7" s="9">
        <f t="shared" si="4"/>
        <v>1.5270464322066184</v>
      </c>
      <c r="U7" s="14">
        <f t="shared" si="7"/>
        <v>1.9420332668747902E-6</v>
      </c>
      <c r="V7" s="6" t="s">
        <v>8</v>
      </c>
      <c r="W7" s="14">
        <f t="shared" si="5"/>
        <v>0.13371880378736267</v>
      </c>
      <c r="X7" s="16">
        <f t="shared" si="8"/>
        <v>9.1175874497116449E-2</v>
      </c>
    </row>
    <row r="8" spans="1:24" x14ac:dyDescent="0.3">
      <c r="A8" s="9">
        <v>7</v>
      </c>
      <c r="B8" s="9">
        <v>0.88629579591014296</v>
      </c>
      <c r="C8" s="9">
        <v>0.94143284195429633</v>
      </c>
      <c r="D8" s="9">
        <v>0.83438796995583142</v>
      </c>
      <c r="E8" s="9">
        <v>0.58000000000000007</v>
      </c>
      <c r="F8" s="9">
        <v>0</v>
      </c>
      <c r="G8" s="9">
        <v>1.4660158069571101</v>
      </c>
      <c r="H8" s="12" t="s">
        <v>12</v>
      </c>
      <c r="I8" s="8">
        <v>1.2947783025535493</v>
      </c>
      <c r="N8" s="9">
        <f t="shared" si="0"/>
        <v>2.0427355073819848</v>
      </c>
      <c r="O8" s="9">
        <f t="shared" si="1"/>
        <v>6.4144548558996597</v>
      </c>
      <c r="P8" s="9">
        <f t="shared" si="2"/>
        <v>-1.1539123099802957</v>
      </c>
      <c r="Q8" s="9">
        <f t="shared" si="6"/>
        <v>0.88521152159529015</v>
      </c>
      <c r="R8" s="9">
        <f t="shared" si="3"/>
        <v>0.99836496526263718</v>
      </c>
      <c r="S8" s="9">
        <f t="shared" si="3"/>
        <v>0.23977520935252436</v>
      </c>
      <c r="T8" s="9">
        <f t="shared" si="4"/>
        <v>1.4658031755225416</v>
      </c>
      <c r="U8" s="14">
        <f t="shared" si="7"/>
        <v>4.5212126966662959E-8</v>
      </c>
      <c r="V8" s="15">
        <f>(V6-V2)/V6</f>
        <v>0.99994047845387202</v>
      </c>
      <c r="W8" s="14">
        <f t="shared" si="5"/>
        <v>9.1961547519712084E-2</v>
      </c>
      <c r="X8" s="16">
        <f t="shared" si="8"/>
        <v>1.450403423751977E-2</v>
      </c>
    </row>
    <row r="9" spans="1:24" x14ac:dyDescent="0.3">
      <c r="A9" s="9">
        <v>8</v>
      </c>
      <c r="B9" s="9">
        <v>0.82493648944805331</v>
      </c>
      <c r="C9" s="9">
        <v>0.90826014414816936</v>
      </c>
      <c r="D9" s="9">
        <v>0.74925693481917366</v>
      </c>
      <c r="E9" s="9">
        <v>0.54499999999999993</v>
      </c>
      <c r="F9" s="9">
        <v>0</v>
      </c>
      <c r="G9" s="9">
        <v>1.41932737838142</v>
      </c>
      <c r="J9" s="2"/>
      <c r="K9" s="2"/>
      <c r="L9" s="2"/>
      <c r="M9" s="2"/>
      <c r="N9" s="9">
        <f t="shared" si="0"/>
        <v>1.9298667801562439</v>
      </c>
      <c r="O9" s="9">
        <f t="shared" si="1"/>
        <v>5.8796600596183035</v>
      </c>
      <c r="P9" s="9">
        <f t="shared" si="2"/>
        <v>-1.2735919299315519</v>
      </c>
      <c r="Q9" s="9">
        <f t="shared" si="6"/>
        <v>0.87323467372347763</v>
      </c>
      <c r="R9" s="9">
        <f t="shared" si="3"/>
        <v>0.99721205884912867</v>
      </c>
      <c r="S9" s="9">
        <f t="shared" si="3"/>
        <v>0.2186429930007073</v>
      </c>
      <c r="T9" s="9">
        <f t="shared" si="4"/>
        <v>1.4183071933987863</v>
      </c>
      <c r="U9" s="14">
        <f t="shared" si="7"/>
        <v>1.0407773987912743E-6</v>
      </c>
      <c r="V9" s="6" t="s">
        <v>25</v>
      </c>
      <c r="W9" s="14">
        <f t="shared" si="5"/>
        <v>6.5824673298004316E-2</v>
      </c>
      <c r="X9" s="16">
        <f t="shared" si="8"/>
        <v>7.1878059859387777E-2</v>
      </c>
    </row>
    <row r="10" spans="1:24" x14ac:dyDescent="0.3">
      <c r="A10" s="9">
        <v>9</v>
      </c>
      <c r="B10" s="9">
        <v>0.73549094564436945</v>
      </c>
      <c r="C10" s="9">
        <v>0.85760768749141325</v>
      </c>
      <c r="D10" s="9">
        <v>0.63076268906494071</v>
      </c>
      <c r="E10" s="9">
        <v>0.52</v>
      </c>
      <c r="F10" s="9">
        <v>0</v>
      </c>
      <c r="G10" s="9">
        <v>1.3848241878459899</v>
      </c>
      <c r="H10" s="2"/>
      <c r="J10" s="2"/>
      <c r="K10" s="2"/>
      <c r="L10" s="2"/>
      <c r="M10" s="2"/>
      <c r="N10" s="9">
        <f t="shared" si="0"/>
        <v>1.8487719201773409</v>
      </c>
      <c r="O10" s="9">
        <f t="shared" si="1"/>
        <v>5.1353579106530551</v>
      </c>
      <c r="P10" s="9">
        <f t="shared" si="2"/>
        <v>-1.3738705012686676</v>
      </c>
      <c r="Q10" s="9">
        <f t="shared" si="6"/>
        <v>0.86398284786522461</v>
      </c>
      <c r="R10" s="9">
        <f t="shared" si="3"/>
        <v>0.99414948511363033</v>
      </c>
      <c r="S10" s="9">
        <f t="shared" si="3"/>
        <v>0.20199522844382167</v>
      </c>
      <c r="T10" s="9">
        <f t="shared" si="4"/>
        <v>1.3854971361654087</v>
      </c>
      <c r="U10" s="14">
        <f t="shared" si="7"/>
        <v>4.5285944060855466E-7</v>
      </c>
      <c r="V10" s="17">
        <f>AVERAGE(X2:X274)</f>
        <v>0.25330134780462848</v>
      </c>
      <c r="W10" s="14">
        <f t="shared" si="5"/>
        <v>4.9310645815972103E-2</v>
      </c>
      <c r="X10" s="16">
        <f t="shared" si="8"/>
        <v>4.8594494905920591E-2</v>
      </c>
    </row>
    <row r="11" spans="1:24" x14ac:dyDescent="0.3">
      <c r="A11" s="9">
        <v>10</v>
      </c>
      <c r="B11" s="9">
        <v>0.592782777626775</v>
      </c>
      <c r="C11" s="9">
        <v>0.76992387781310878</v>
      </c>
      <c r="D11" s="9">
        <v>0.45639761485123242</v>
      </c>
      <c r="E11" s="9">
        <v>0.50499999999999989</v>
      </c>
      <c r="F11" s="9">
        <v>0</v>
      </c>
      <c r="G11" s="9">
        <v>1.3721517869532001</v>
      </c>
      <c r="H11" s="2"/>
      <c r="J11" s="2"/>
      <c r="K11" s="2"/>
      <c r="L11" s="2"/>
      <c r="M11" s="2"/>
      <c r="N11" s="9">
        <f t="shared" si="0"/>
        <v>1.7951170427525385</v>
      </c>
      <c r="O11" s="9">
        <f t="shared" si="1"/>
        <v>4.054644594845457</v>
      </c>
      <c r="P11" s="9">
        <f t="shared" si="2"/>
        <v>-1.4976632949059852</v>
      </c>
      <c r="Q11" s="9">
        <f t="shared" si="6"/>
        <v>0.85755349579853579</v>
      </c>
      <c r="R11" s="9">
        <f t="shared" si="3"/>
        <v>0.98295396386548273</v>
      </c>
      <c r="S11" s="9">
        <f t="shared" si="3"/>
        <v>0.18277429373642345</v>
      </c>
      <c r="T11" s="9">
        <f t="shared" si="4"/>
        <v>1.3715097031760537</v>
      </c>
      <c r="U11" s="14">
        <f t="shared" si="7"/>
        <v>4.1227157687454005E-7</v>
      </c>
      <c r="V11" s="6" t="s">
        <v>26</v>
      </c>
      <c r="W11" s="14">
        <f t="shared" si="5"/>
        <v>4.3843168749393938E-2</v>
      </c>
      <c r="X11" s="16">
        <f t="shared" si="8"/>
        <v>4.6793932220288853E-2</v>
      </c>
    </row>
    <row r="12" spans="1:24" x14ac:dyDescent="0.3">
      <c r="A12" s="9">
        <v>11</v>
      </c>
      <c r="B12" s="9">
        <v>0.99798365800029631</v>
      </c>
      <c r="C12" s="9">
        <v>0.99899132028276216</v>
      </c>
      <c r="D12" s="9">
        <v>0.99697701212633671</v>
      </c>
      <c r="E12" s="9">
        <v>0.81</v>
      </c>
      <c r="F12" s="9">
        <v>0</v>
      </c>
      <c r="G12" s="9">
        <v>1.77619017533007</v>
      </c>
      <c r="H12" s="2"/>
      <c r="J12" s="2"/>
      <c r="K12" s="2"/>
      <c r="L12" s="2"/>
      <c r="M12" s="2"/>
      <c r="N12" s="9">
        <f t="shared" si="0"/>
        <v>2.7920628934284069</v>
      </c>
      <c r="O12" s="9">
        <f t="shared" si="1"/>
        <v>7.4099193759725601</v>
      </c>
      <c r="P12" s="9">
        <f t="shared" si="2"/>
        <v>-0.39358568161959973</v>
      </c>
      <c r="Q12" s="9">
        <f t="shared" si="6"/>
        <v>0.94224540778920929</v>
      </c>
      <c r="R12" s="9">
        <f t="shared" si="3"/>
        <v>0.99939514658127571</v>
      </c>
      <c r="S12" s="9">
        <f t="shared" si="3"/>
        <v>0.40285441967604596</v>
      </c>
      <c r="T12" s="9">
        <f t="shared" si="4"/>
        <v>1.7738877195047629</v>
      </c>
      <c r="U12" s="14">
        <f t="shared" si="7"/>
        <v>5.301302827490514E-6</v>
      </c>
      <c r="V12" s="10">
        <f>MAX(X2:X274)</f>
        <v>2.8159770501899208</v>
      </c>
      <c r="W12" s="14">
        <f t="shared" si="5"/>
        <v>0.37629144824229427</v>
      </c>
      <c r="X12" s="16">
        <f t="shared" si="8"/>
        <v>0.12962890220239032</v>
      </c>
    </row>
    <row r="13" spans="1:24" x14ac:dyDescent="0.3">
      <c r="A13" s="9">
        <v>12</v>
      </c>
      <c r="B13" s="9">
        <v>0.99082969587065506</v>
      </c>
      <c r="C13" s="9">
        <v>0.99540428764932243</v>
      </c>
      <c r="D13" s="9">
        <v>0.98627612759992478</v>
      </c>
      <c r="E13" s="9">
        <v>0.64000000000000012</v>
      </c>
      <c r="F13" s="9">
        <v>0</v>
      </c>
      <c r="G13" s="9">
        <v>1.5482873674705899</v>
      </c>
      <c r="H13" s="2"/>
      <c r="J13" s="2"/>
      <c r="K13" s="2"/>
      <c r="L13" s="2"/>
      <c r="M13" s="2"/>
      <c r="N13" s="9">
        <f t="shared" si="0"/>
        <v>2.2339033993877808</v>
      </c>
      <c r="O13" s="9">
        <f t="shared" si="1"/>
        <v>7.3724171905459812</v>
      </c>
      <c r="P13" s="9">
        <f t="shared" si="2"/>
        <v>-0.95995818371713426</v>
      </c>
      <c r="Q13" s="9">
        <f t="shared" si="6"/>
        <v>0.90325300277044307</v>
      </c>
      <c r="R13" s="9">
        <f t="shared" si="3"/>
        <v>0.99937204706635174</v>
      </c>
      <c r="S13" s="9">
        <f t="shared" si="3"/>
        <v>0.27688656727021671</v>
      </c>
      <c r="T13" s="9">
        <f t="shared" si="4"/>
        <v>1.5449643068277046</v>
      </c>
      <c r="U13" s="14">
        <f t="shared" si="7"/>
        <v>1.1042732036293562E-5</v>
      </c>
      <c r="V13" s="26" t="s">
        <v>37</v>
      </c>
      <c r="W13" s="14">
        <f t="shared" si="5"/>
        <v>0.14862812587505878</v>
      </c>
      <c r="X13" s="16">
        <f t="shared" si="8"/>
        <v>0.21462815706584049</v>
      </c>
    </row>
    <row r="14" spans="1:24" x14ac:dyDescent="0.3">
      <c r="A14" s="9">
        <v>13</v>
      </c>
      <c r="B14" s="9">
        <v>0.97635838312361378</v>
      </c>
      <c r="C14" s="9">
        <v>0.98810848752736347</v>
      </c>
      <c r="D14" s="9">
        <v>0.96474800523293669</v>
      </c>
      <c r="E14" s="9">
        <v>0.49</v>
      </c>
      <c r="F14" s="9">
        <v>0</v>
      </c>
      <c r="G14" s="9">
        <v>1.33233469794959</v>
      </c>
      <c r="H14" s="21"/>
      <c r="J14" s="2"/>
      <c r="K14" s="2"/>
      <c r="L14" s="2"/>
      <c r="M14" s="2"/>
      <c r="N14" s="9">
        <f t="shared" si="0"/>
        <v>1.7419549608906102</v>
      </c>
      <c r="O14" s="9">
        <f t="shared" si="1"/>
        <v>7.2621549540303718</v>
      </c>
      <c r="P14" s="9">
        <f t="shared" si="2"/>
        <v>-1.458899215123532</v>
      </c>
      <c r="Q14" s="9">
        <f t="shared" si="6"/>
        <v>0.85093521162661723</v>
      </c>
      <c r="R14" s="9">
        <f t="shared" si="3"/>
        <v>0.99929889738824218</v>
      </c>
      <c r="S14" s="9">
        <f t="shared" si="3"/>
        <v>0.18863574512973547</v>
      </c>
      <c r="T14" s="9">
        <f t="shared" si="4"/>
        <v>1.3325157713751545</v>
      </c>
      <c r="U14" s="14">
        <f t="shared" si="7"/>
        <v>3.2787585445664015E-8</v>
      </c>
      <c r="V14" s="14">
        <f>SQRT(V2/COUNTA(A2:A274))</f>
        <v>3.2313809979065216E-3</v>
      </c>
      <c r="W14" s="14">
        <f t="shared" si="5"/>
        <v>2.8754159588966273E-2</v>
      </c>
      <c r="X14" s="16">
        <f t="shared" si="8"/>
        <v>1.3590686022301221E-2</v>
      </c>
    </row>
    <row r="15" spans="1:24" x14ac:dyDescent="0.3">
      <c r="A15" s="9">
        <v>14</v>
      </c>
      <c r="B15" s="9">
        <v>0.95144310139704413</v>
      </c>
      <c r="C15" s="9">
        <v>0.97541944895365096</v>
      </c>
      <c r="D15" s="9">
        <v>0.92805610567545749</v>
      </c>
      <c r="E15" s="9">
        <v>0.35999999999999988</v>
      </c>
      <c r="F15" s="9">
        <v>0</v>
      </c>
      <c r="G15" s="9">
        <v>1.1325380227573101</v>
      </c>
      <c r="H15" s="2"/>
      <c r="L15" s="2"/>
      <c r="M15" s="2"/>
      <c r="N15" s="9">
        <f t="shared" si="0"/>
        <v>1.3163313862473045</v>
      </c>
      <c r="O15" s="9">
        <f t="shared" si="1"/>
        <v>7.051519266658552</v>
      </c>
      <c r="P15" s="9">
        <f t="shared" si="2"/>
        <v>-1.8904562535222844</v>
      </c>
      <c r="Q15" s="9">
        <f t="shared" si="6"/>
        <v>0.78857069726364448</v>
      </c>
      <c r="R15" s="9">
        <f t="shared" si="3"/>
        <v>0.99913465733411844</v>
      </c>
      <c r="S15" s="9">
        <f t="shared" si="3"/>
        <v>0.1311924564563958</v>
      </c>
      <c r="T15" s="9">
        <f t="shared" si="4"/>
        <v>1.1353705909171197</v>
      </c>
      <c r="U15" s="14">
        <f t="shared" si="7"/>
        <v>8.0234423799670861E-6</v>
      </c>
      <c r="W15" s="14">
        <f t="shared" si="5"/>
        <v>9.1362075433644213E-4</v>
      </c>
      <c r="X15" s="16">
        <f t="shared" si="8"/>
        <v>0.25010799663161304</v>
      </c>
    </row>
    <row r="16" spans="1:24" x14ac:dyDescent="0.3">
      <c r="A16" s="9">
        <v>15</v>
      </c>
      <c r="B16" s="9">
        <v>0.91157954485698101</v>
      </c>
      <c r="C16" s="9">
        <v>0.95476674892718227</v>
      </c>
      <c r="D16" s="9">
        <v>0.87034583843162083</v>
      </c>
      <c r="E16" s="9">
        <v>0.25</v>
      </c>
      <c r="F16" s="9">
        <v>0</v>
      </c>
      <c r="G16" s="9">
        <v>0.95877179703309401</v>
      </c>
      <c r="H16" s="2"/>
      <c r="I16" s="19"/>
      <c r="J16" s="2"/>
      <c r="K16" s="2"/>
      <c r="L16" s="2"/>
      <c r="M16" s="2"/>
      <c r="N16" s="9">
        <f t="shared" si="0"/>
        <v>0.95706374843491637</v>
      </c>
      <c r="O16" s="9">
        <f t="shared" si="1"/>
        <v>6.7034034471282471</v>
      </c>
      <c r="P16" s="9">
        <f t="shared" si="2"/>
        <v>-2.2553067843521291</v>
      </c>
      <c r="Q16" s="9">
        <f t="shared" si="6"/>
        <v>0.72253353366433837</v>
      </c>
      <c r="R16" s="9">
        <f t="shared" si="3"/>
        <v>0.99877477334178955</v>
      </c>
      <c r="S16" s="9">
        <f t="shared" si="3"/>
        <v>9.489269452681523E-2</v>
      </c>
      <c r="T16" s="9">
        <f t="shared" si="4"/>
        <v>0.95571529359007767</v>
      </c>
      <c r="U16" s="14">
        <f t="shared" si="7"/>
        <v>9.3422132971707038E-6</v>
      </c>
      <c r="W16" s="14">
        <f t="shared" si="5"/>
        <v>4.161289347388876E-2</v>
      </c>
      <c r="X16" s="16">
        <f t="shared" si="8"/>
        <v>0.31879363290353779</v>
      </c>
    </row>
    <row r="17" spans="1:24" x14ac:dyDescent="0.3">
      <c r="A17" s="9">
        <v>16</v>
      </c>
      <c r="B17" s="9">
        <v>0.85026083486688353</v>
      </c>
      <c r="C17" s="9">
        <v>0.92209589244659562</v>
      </c>
      <c r="D17" s="9">
        <v>0.78402202333896664</v>
      </c>
      <c r="E17" s="9">
        <v>0.15999999999999992</v>
      </c>
      <c r="F17" s="9">
        <v>0</v>
      </c>
      <c r="G17" s="9">
        <v>0.80548667970997101</v>
      </c>
      <c r="J17" s="2"/>
      <c r="K17" s="2"/>
      <c r="L17" s="2"/>
      <c r="M17" s="2"/>
      <c r="N17" s="9">
        <f t="shared" si="0"/>
        <v>0.66388647670750367</v>
      </c>
      <c r="O17" s="9">
        <f t="shared" si="1"/>
        <v>6.1702692690738381</v>
      </c>
      <c r="P17" s="9">
        <f t="shared" si="2"/>
        <v>-2.5561813560261788</v>
      </c>
      <c r="Q17" s="9">
        <f t="shared" si="6"/>
        <v>0.66013289038952505</v>
      </c>
      <c r="R17" s="9">
        <f t="shared" si="3"/>
        <v>0.99791368882324594</v>
      </c>
      <c r="S17" s="9">
        <f t="shared" si="3"/>
        <v>7.2012312336365361E-2</v>
      </c>
      <c r="T17" s="9">
        <f t="shared" si="4"/>
        <v>0.8003549801087575</v>
      </c>
      <c r="U17" s="14">
        <f t="shared" si="7"/>
        <v>2.633434079709493E-5</v>
      </c>
      <c r="W17" s="14">
        <f t="shared" si="5"/>
        <v>0.127647214254554</v>
      </c>
      <c r="X17" s="16">
        <f t="shared" si="8"/>
        <v>0.63709304330907957</v>
      </c>
    </row>
    <row r="18" spans="1:24" x14ac:dyDescent="0.3">
      <c r="A18" s="9">
        <v>17</v>
      </c>
      <c r="B18" s="9">
        <v>0.75804016693539389</v>
      </c>
      <c r="C18" s="9">
        <v>0.87065502177119147</v>
      </c>
      <c r="D18" s="9">
        <v>0.65999147804657321</v>
      </c>
      <c r="E18" s="9">
        <v>9.000000000000008E-2</v>
      </c>
      <c r="F18" s="9">
        <v>0</v>
      </c>
      <c r="G18" s="9">
        <v>0.6751347835821</v>
      </c>
      <c r="M18" s="2"/>
      <c r="N18" s="9">
        <f t="shared" si="0"/>
        <v>0.43564502835018626</v>
      </c>
      <c r="O18" s="9">
        <f t="shared" si="1"/>
        <v>5.3974598989357867</v>
      </c>
      <c r="P18" s="9">
        <f t="shared" si="2"/>
        <v>-2.8025854502137495</v>
      </c>
      <c r="Q18" s="9">
        <f t="shared" si="6"/>
        <v>0.60722084034944057</v>
      </c>
      <c r="R18" s="9">
        <f t="shared" si="6"/>
        <v>0.99549234288063504</v>
      </c>
      <c r="S18" s="9">
        <f t="shared" si="6"/>
        <v>5.7184622842007565E-2</v>
      </c>
      <c r="T18" s="9">
        <f t="shared" si="4"/>
        <v>0.67729291984465001</v>
      </c>
      <c r="U18" s="14">
        <f t="shared" si="7"/>
        <v>4.6575521277333448E-6</v>
      </c>
      <c r="W18" s="14">
        <f t="shared" si="5"/>
        <v>0.2377824310366248</v>
      </c>
      <c r="X18" s="16">
        <f t="shared" si="8"/>
        <v>0.31966006122502999</v>
      </c>
    </row>
    <row r="19" spans="1:24" x14ac:dyDescent="0.3">
      <c r="A19" s="9">
        <v>18</v>
      </c>
      <c r="B19" s="9">
        <v>0.62081341767015485</v>
      </c>
      <c r="C19" s="9">
        <v>0.78791713883514092</v>
      </c>
      <c r="D19" s="9">
        <v>0.48914953180113391</v>
      </c>
      <c r="E19" s="9">
        <v>4.0000000000000036E-2</v>
      </c>
      <c r="F19" s="9">
        <v>0</v>
      </c>
      <c r="G19" s="9">
        <v>0.59270073278746305</v>
      </c>
      <c r="H19" s="2"/>
      <c r="J19" s="2"/>
      <c r="K19" s="2"/>
      <c r="L19" s="2"/>
      <c r="M19" s="2"/>
      <c r="N19" s="9">
        <f t="shared" si="0"/>
        <v>0.26851390555895538</v>
      </c>
      <c r="O19" s="9">
        <f t="shared" si="1"/>
        <v>4.3399484640951975</v>
      </c>
      <c r="P19" s="9">
        <f t="shared" si="2"/>
        <v>-3.0286908943828834</v>
      </c>
      <c r="Q19" s="9">
        <f t="shared" si="6"/>
        <v>0.56672803463399601</v>
      </c>
      <c r="R19" s="9">
        <f t="shared" si="6"/>
        <v>0.98713058111871355</v>
      </c>
      <c r="S19" s="9">
        <f t="shared" si="6"/>
        <v>4.6146415615626143E-2</v>
      </c>
      <c r="T19" s="9">
        <f t="shared" si="4"/>
        <v>0.59623934528248734</v>
      </c>
      <c r="U19" s="14">
        <f t="shared" si="7"/>
        <v>1.2521778389942072E-5</v>
      </c>
      <c r="W19" s="14">
        <f t="shared" si="5"/>
        <v>0.32497233710451118</v>
      </c>
      <c r="X19" s="16">
        <f t="shared" si="8"/>
        <v>0.59703190822495733</v>
      </c>
    </row>
    <row r="20" spans="1:24" x14ac:dyDescent="0.3">
      <c r="A20" s="9">
        <v>19</v>
      </c>
      <c r="B20" s="9">
        <v>0.41411550520763146</v>
      </c>
      <c r="C20" s="9">
        <v>0.64351806906071529</v>
      </c>
      <c r="D20" s="9">
        <v>0.26649081027931787</v>
      </c>
      <c r="E20" s="9">
        <v>1.0000000000000009E-2</v>
      </c>
      <c r="F20" s="9">
        <v>0</v>
      </c>
      <c r="G20" s="9">
        <v>0.58056900799713895</v>
      </c>
      <c r="M20" s="2"/>
      <c r="N20" s="9">
        <f t="shared" si="0"/>
        <v>0.14880052593786011</v>
      </c>
      <c r="O20" s="9">
        <f t="shared" si="1"/>
        <v>3.0285561176722737</v>
      </c>
      <c r="P20" s="9">
        <f t="shared" si="2"/>
        <v>-3.3859741958986085</v>
      </c>
      <c r="Q20" s="9">
        <f t="shared" si="6"/>
        <v>0.53713164393102997</v>
      </c>
      <c r="R20" s="9">
        <f t="shared" si="6"/>
        <v>0.95384765156525886</v>
      </c>
      <c r="S20" s="9">
        <f t="shared" si="6"/>
        <v>3.2736692881176623E-2</v>
      </c>
      <c r="T20" s="9">
        <f t="shared" si="4"/>
        <v>0.58401326008458587</v>
      </c>
      <c r="U20" s="14">
        <f t="shared" si="7"/>
        <v>1.1862872441882463E-5</v>
      </c>
      <c r="W20" s="14">
        <f t="shared" si="5"/>
        <v>0.3389512216294176</v>
      </c>
      <c r="X20" s="16">
        <f t="shared" si="8"/>
        <v>0.59325455544535244</v>
      </c>
    </row>
    <row r="21" spans="1:24" x14ac:dyDescent="0.3">
      <c r="A21" s="9">
        <v>20</v>
      </c>
      <c r="B21" s="9">
        <v>0.6046213212551188</v>
      </c>
      <c r="C21" s="9">
        <v>0.77757399728586529</v>
      </c>
      <c r="D21" s="9">
        <v>0.47013781761260415</v>
      </c>
      <c r="E21" s="9">
        <v>0.13</v>
      </c>
      <c r="F21" s="9">
        <v>0</v>
      </c>
      <c r="G21" s="9">
        <v>0.76587786524651702</v>
      </c>
      <c r="M21" s="2"/>
      <c r="N21" s="9">
        <f t="shared" si="0"/>
        <v>0.56344339465267523</v>
      </c>
      <c r="O21" s="9">
        <f t="shared" si="1"/>
        <v>4.2067916477481084</v>
      </c>
      <c r="P21" s="9">
        <f t="shared" si="2"/>
        <v>-2.7397792921578326</v>
      </c>
      <c r="Q21" s="9">
        <f t="shared" si="6"/>
        <v>0.63724890039672577</v>
      </c>
      <c r="R21" s="9">
        <f t="shared" si="6"/>
        <v>0.98532450080817113</v>
      </c>
      <c r="S21" s="9">
        <f t="shared" si="6"/>
        <v>6.0666479365989449E-2</v>
      </c>
      <c r="T21" s="9">
        <f t="shared" si="4"/>
        <v>0.7639826600261469</v>
      </c>
      <c r="U21" s="14">
        <f t="shared" si="7"/>
        <v>3.5918028273181624E-6</v>
      </c>
      <c r="W21" s="14">
        <f t="shared" si="5"/>
        <v>0.15751874910594113</v>
      </c>
      <c r="X21" s="16">
        <f t="shared" si="8"/>
        <v>0.24745528058316485</v>
      </c>
    </row>
    <row r="22" spans="1:24" x14ac:dyDescent="0.3">
      <c r="A22" s="9">
        <v>21</v>
      </c>
      <c r="B22" s="9">
        <v>0.5360450892996631</v>
      </c>
      <c r="C22" s="9">
        <v>0.73215100170638503</v>
      </c>
      <c r="D22" s="9">
        <v>0.39246594909053695</v>
      </c>
      <c r="E22" s="9">
        <v>3.6250000000000004E-2</v>
      </c>
      <c r="F22" s="9">
        <v>0</v>
      </c>
      <c r="G22" s="9">
        <v>0.597168588564709</v>
      </c>
      <c r="H22" s="2"/>
      <c r="I22" s="22"/>
      <c r="J22" s="22"/>
      <c r="K22" s="22"/>
      <c r="L22" s="2"/>
      <c r="M22" s="2"/>
      <c r="N22" s="9">
        <f t="shared" si="0"/>
        <v>0.25042534957346863</v>
      </c>
      <c r="O22" s="9">
        <f t="shared" si="1"/>
        <v>3.7527630772297904</v>
      </c>
      <c r="P22" s="9">
        <f t="shared" si="2"/>
        <v>-3.1143906259991461</v>
      </c>
      <c r="Q22" s="9">
        <f t="shared" si="6"/>
        <v>0.56228119114261144</v>
      </c>
      <c r="R22" s="9">
        <f t="shared" si="6"/>
        <v>0.97708457785493674</v>
      </c>
      <c r="S22" s="9">
        <f t="shared" si="6"/>
        <v>4.2517543243632064E-2</v>
      </c>
      <c r="T22" s="9">
        <f t="shared" si="4"/>
        <v>0.6024036062215824</v>
      </c>
      <c r="U22" s="14">
        <f t="shared" si="7"/>
        <v>2.7405409867776237E-5</v>
      </c>
      <c r="W22" s="14">
        <f t="shared" si="5"/>
        <v>0.31989837628218287</v>
      </c>
      <c r="X22" s="16">
        <f t="shared" si="8"/>
        <v>0.87663982284395259</v>
      </c>
    </row>
    <row r="23" spans="1:24" x14ac:dyDescent="0.3">
      <c r="A23" s="9">
        <v>22</v>
      </c>
      <c r="B23" s="9">
        <v>0.482056160699321</v>
      </c>
      <c r="C23" s="9">
        <v>0.69430264344831716</v>
      </c>
      <c r="D23" s="9">
        <v>0.33469286666408549</v>
      </c>
      <c r="E23" s="9">
        <v>1.8888888888888844E-2</v>
      </c>
      <c r="F23" s="9">
        <v>0</v>
      </c>
      <c r="G23" s="9">
        <v>0.58610126196485501</v>
      </c>
      <c r="H23" s="2"/>
      <c r="J23" s="2"/>
      <c r="K23" s="2"/>
      <c r="L23" s="2"/>
      <c r="M23" s="2"/>
      <c r="N23" s="9">
        <f t="shared" si="0"/>
        <v>0.18773035335256746</v>
      </c>
      <c r="O23" s="9">
        <f t="shared" si="1"/>
        <v>3.4145101976221337</v>
      </c>
      <c r="P23" s="9">
        <f t="shared" si="2"/>
        <v>-3.2399423384899935</v>
      </c>
      <c r="Q23" s="9">
        <f t="shared" si="6"/>
        <v>0.54679523651141626</v>
      </c>
      <c r="R23" s="9">
        <f t="shared" si="6"/>
        <v>0.96815495014703301</v>
      </c>
      <c r="S23" s="9">
        <f t="shared" si="6"/>
        <v>3.7689981803942126E-2</v>
      </c>
      <c r="T23" s="9">
        <f t="shared" si="4"/>
        <v>0.5819338832624229</v>
      </c>
      <c r="U23" s="14">
        <f t="shared" si="7"/>
        <v>1.7367045249484754E-5</v>
      </c>
      <c r="W23" s="14">
        <f t="shared" si="5"/>
        <v>0.33254012433118024</v>
      </c>
      <c r="X23" s="16">
        <f t="shared" si="8"/>
        <v>0.71103390708652059</v>
      </c>
    </row>
    <row r="24" spans="1:24" x14ac:dyDescent="0.3">
      <c r="A24" s="9">
        <v>23</v>
      </c>
      <c r="B24" s="9">
        <v>0.44329834371454524</v>
      </c>
      <c r="C24" s="9">
        <v>0.66580653625099329</v>
      </c>
      <c r="D24" s="9">
        <v>0.29515093475438386</v>
      </c>
      <c r="E24" s="9">
        <v>1.2812500000000004E-2</v>
      </c>
      <c r="F24" s="9">
        <v>0</v>
      </c>
      <c r="G24" s="9">
        <v>0.57961803378971899</v>
      </c>
      <c r="H24" s="2"/>
      <c r="J24" s="2"/>
      <c r="K24" s="2"/>
      <c r="L24" s="2"/>
      <c r="M24" s="2"/>
      <c r="N24" s="9">
        <f t="shared" si="0"/>
        <v>0.16260860468188029</v>
      </c>
      <c r="O24" s="9">
        <f t="shared" si="1"/>
        <v>3.188361103260374</v>
      </c>
      <c r="P24" s="9">
        <f t="shared" si="2"/>
        <v>-3.3217159067368787</v>
      </c>
      <c r="Q24" s="9">
        <f t="shared" si="6"/>
        <v>0.540562811871243</v>
      </c>
      <c r="R24" s="9">
        <f t="shared" si="6"/>
        <v>0.96039392804330026</v>
      </c>
      <c r="S24" s="9">
        <f t="shared" si="6"/>
        <v>3.4833673183230808E-2</v>
      </c>
      <c r="T24" s="9">
        <f t="shared" si="4"/>
        <v>0.58079625957166936</v>
      </c>
      <c r="U24" s="14">
        <f t="shared" si="7"/>
        <v>1.3882159932525621E-6</v>
      </c>
      <c r="W24" s="14">
        <f t="shared" si="5"/>
        <v>0.34005943117131182</v>
      </c>
      <c r="X24" s="16">
        <f t="shared" si="8"/>
        <v>0.2032762462973714</v>
      </c>
    </row>
    <row r="25" spans="1:24" x14ac:dyDescent="0.3">
      <c r="A25" s="9">
        <v>24</v>
      </c>
      <c r="B25" s="9">
        <v>0.75641498946707786</v>
      </c>
      <c r="C25" s="9">
        <v>0.86972121364669375</v>
      </c>
      <c r="D25" s="9">
        <v>0.65787016265985809</v>
      </c>
      <c r="E25" s="9">
        <v>0.24222222222222223</v>
      </c>
      <c r="F25" s="9">
        <v>0</v>
      </c>
      <c r="G25" s="9">
        <v>0.94688545731729601</v>
      </c>
      <c r="H25" s="2"/>
      <c r="J25" s="2"/>
      <c r="K25" s="2"/>
      <c r="L25" s="2"/>
      <c r="M25" s="2"/>
      <c r="N25" s="9">
        <f t="shared" si="0"/>
        <v>0.93589962017385619</v>
      </c>
      <c r="O25" s="9">
        <f t="shared" si="1"/>
        <v>5.356463543196857</v>
      </c>
      <c r="P25" s="9">
        <f t="shared" si="2"/>
        <v>-2.2950989556670276</v>
      </c>
      <c r="Q25" s="9">
        <f t="shared" si="6"/>
        <v>0.71827065619237362</v>
      </c>
      <c r="R25" s="9">
        <f t="shared" si="6"/>
        <v>0.99530459078545952</v>
      </c>
      <c r="S25" s="9">
        <f t="shared" si="6"/>
        <v>9.1529677599523115E-2</v>
      </c>
      <c r="T25" s="9">
        <f t="shared" si="4"/>
        <v>0.94968175236159158</v>
      </c>
      <c r="U25" s="14">
        <f t="shared" si="7"/>
        <v>7.8192659747519724E-6</v>
      </c>
      <c r="W25" s="14">
        <f t="shared" si="5"/>
        <v>4.6603624140392264E-2</v>
      </c>
      <c r="X25" s="16">
        <f t="shared" si="8"/>
        <v>0.29531502703801149</v>
      </c>
    </row>
    <row r="26" spans="1:24" x14ac:dyDescent="0.3">
      <c r="A26" s="9">
        <v>25</v>
      </c>
      <c r="B26" s="9">
        <v>0.84330333318766382</v>
      </c>
      <c r="C26" s="9">
        <v>0.91831548674062113</v>
      </c>
      <c r="D26" s="9">
        <v>0.77441851088621827</v>
      </c>
      <c r="E26" s="9">
        <v>0.32624999999999993</v>
      </c>
      <c r="F26" s="9">
        <v>0</v>
      </c>
      <c r="G26" s="9">
        <v>1.08413098628267</v>
      </c>
      <c r="H26" s="2"/>
      <c r="J26" s="2"/>
      <c r="K26" s="2"/>
      <c r="L26" s="2"/>
      <c r="M26" s="2"/>
      <c r="N26" s="9">
        <f t="shared" si="0"/>
        <v>1.2104598987756003</v>
      </c>
      <c r="O26" s="9">
        <f t="shared" si="1"/>
        <v>6.0790867963982782</v>
      </c>
      <c r="P26" s="9">
        <f t="shared" si="2"/>
        <v>-2.0019268964262418</v>
      </c>
      <c r="Q26" s="9">
        <f t="shared" si="6"/>
        <v>0.77038031272029195</v>
      </c>
      <c r="R26" s="9">
        <f t="shared" si="6"/>
        <v>0.99771496615953104</v>
      </c>
      <c r="S26" s="9">
        <f t="shared" si="6"/>
        <v>0.11900075865886441</v>
      </c>
      <c r="T26" s="9">
        <f t="shared" si="4"/>
        <v>1.0859035975246041</v>
      </c>
      <c r="U26" s="14">
        <f t="shared" si="7"/>
        <v>3.1421506150310224E-6</v>
      </c>
      <c r="W26" s="14">
        <f t="shared" si="5"/>
        <v>6.1831796034044909E-3</v>
      </c>
      <c r="X26" s="16">
        <f t="shared" si="8"/>
        <v>0.16350526498759099</v>
      </c>
    </row>
    <row r="27" spans="1:24" x14ac:dyDescent="0.3">
      <c r="A27" s="9">
        <v>26</v>
      </c>
      <c r="B27" s="9">
        <v>0.82722243711388821</v>
      </c>
      <c r="C27" s="9">
        <v>0.90951769477778055</v>
      </c>
      <c r="D27" s="9">
        <v>0.75237344407228135</v>
      </c>
      <c r="E27" s="9">
        <v>0.17000000000000004</v>
      </c>
      <c r="F27" s="9">
        <v>0</v>
      </c>
      <c r="G27" s="9">
        <v>0.82193250075090596</v>
      </c>
      <c r="H27" s="2"/>
      <c r="J27" s="2"/>
      <c r="K27" s="2"/>
      <c r="L27" s="2"/>
      <c r="M27" s="2"/>
      <c r="N27" s="9">
        <f t="shared" si="0"/>
        <v>0.69744514152946135</v>
      </c>
      <c r="O27" s="9">
        <f t="shared" si="1"/>
        <v>5.9674765320725296</v>
      </c>
      <c r="P27" s="9">
        <f t="shared" si="2"/>
        <v>-2.5245193007613533</v>
      </c>
      <c r="Q27" s="9">
        <f t="shared" si="6"/>
        <v>0.66762108396042086</v>
      </c>
      <c r="R27" s="9">
        <f t="shared" si="6"/>
        <v>0.9974458453067172</v>
      </c>
      <c r="S27" s="9">
        <f t="shared" si="6"/>
        <v>7.4157062183956485E-2</v>
      </c>
      <c r="T27" s="9">
        <f t="shared" si="4"/>
        <v>0.81941435329372692</v>
      </c>
      <c r="U27" s="14">
        <f t="shared" si="7"/>
        <v>6.3410666160972802E-6</v>
      </c>
      <c r="W27" s="14">
        <f t="shared" si="5"/>
        <v>0.11616623552686761</v>
      </c>
      <c r="X27" s="16">
        <f t="shared" si="8"/>
        <v>0.30636913066200677</v>
      </c>
    </row>
    <row r="28" spans="1:24" x14ac:dyDescent="0.3">
      <c r="A28" s="9">
        <v>27</v>
      </c>
      <c r="B28" s="9">
        <v>0.79294453563825062</v>
      </c>
      <c r="C28" s="9">
        <v>0.8904743318244781</v>
      </c>
      <c r="D28" s="9">
        <v>0.70609675554634266</v>
      </c>
      <c r="E28" s="9">
        <v>0.11531250000000004</v>
      </c>
      <c r="F28" s="9">
        <v>0</v>
      </c>
      <c r="G28" s="9">
        <v>0.72003407393728103</v>
      </c>
      <c r="H28" s="2"/>
      <c r="N28" s="9">
        <f t="shared" si="0"/>
        <v>0.51846317812094733</v>
      </c>
      <c r="O28" s="9">
        <f t="shared" si="1"/>
        <v>5.6841396305795842</v>
      </c>
      <c r="P28" s="9">
        <f t="shared" si="2"/>
        <v>-2.7112791230890148</v>
      </c>
      <c r="Q28" s="9">
        <f t="shared" si="6"/>
        <v>0.62678833579483617</v>
      </c>
      <c r="R28" s="9">
        <f t="shared" si="6"/>
        <v>0.99661206037388039</v>
      </c>
      <c r="S28" s="9">
        <f t="shared" si="6"/>
        <v>6.2311072405683884E-2</v>
      </c>
      <c r="T28" s="9">
        <f t="shared" si="4"/>
        <v>0.72194470595859472</v>
      </c>
      <c r="U28" s="14">
        <f t="shared" si="7"/>
        <v>3.6505147208692609E-6</v>
      </c>
      <c r="W28" s="14">
        <f t="shared" si="5"/>
        <v>0.19600994934354413</v>
      </c>
      <c r="X28" s="16">
        <f t="shared" si="8"/>
        <v>0.26535300070814744</v>
      </c>
    </row>
    <row r="29" spans="1:24" x14ac:dyDescent="0.3">
      <c r="A29" s="9">
        <v>28</v>
      </c>
      <c r="B29" s="9">
        <v>0.72336966320800022</v>
      </c>
      <c r="C29" s="9">
        <v>0.8505114127441209</v>
      </c>
      <c r="D29" s="9">
        <v>0.61523415419127547</v>
      </c>
      <c r="E29" s="9">
        <v>9.9999999999999978E-2</v>
      </c>
      <c r="F29" s="9">
        <v>0</v>
      </c>
      <c r="G29" s="9">
        <v>0.69742443734283299</v>
      </c>
      <c r="H29" s="2"/>
      <c r="N29" s="9">
        <f t="shared" si="0"/>
        <v>0.4684643531630942</v>
      </c>
      <c r="O29" s="9">
        <f t="shared" si="1"/>
        <v>5.1139804453775684</v>
      </c>
      <c r="P29" s="9">
        <f t="shared" si="2"/>
        <v>-2.7788788884651972</v>
      </c>
      <c r="Q29" s="9">
        <f t="shared" si="6"/>
        <v>0.61502022503760534</v>
      </c>
      <c r="R29" s="9">
        <f t="shared" si="6"/>
        <v>0.99402382500831055</v>
      </c>
      <c r="S29" s="9">
        <f t="shared" si="6"/>
        <v>5.8476249786327698E-2</v>
      </c>
      <c r="T29" s="9">
        <f t="shared" si="4"/>
        <v>0.69796431549144278</v>
      </c>
      <c r="U29" s="14">
        <f t="shared" si="7"/>
        <v>2.9146841534632887E-7</v>
      </c>
      <c r="W29" s="14">
        <f t="shared" si="5"/>
        <v>0.21654107875464096</v>
      </c>
      <c r="X29" s="16">
        <f t="shared" si="8"/>
        <v>7.7410271235505451E-2</v>
      </c>
    </row>
    <row r="30" spans="1:24" x14ac:dyDescent="0.3">
      <c r="A30" s="9">
        <v>29</v>
      </c>
      <c r="B30" s="9">
        <v>0.90058022766249946</v>
      </c>
      <c r="C30" s="9">
        <v>0.94898905560733393</v>
      </c>
      <c r="D30" s="9">
        <v>0.85464077974807318</v>
      </c>
      <c r="E30" s="9">
        <v>0.39999999999999991</v>
      </c>
      <c r="F30" s="9">
        <v>0</v>
      </c>
      <c r="G30" s="9">
        <v>1.2023841712799099</v>
      </c>
      <c r="H30" s="2"/>
      <c r="N30" s="9">
        <f t="shared" si="0"/>
        <v>1.4505488486501721</v>
      </c>
      <c r="O30" s="9">
        <f t="shared" si="1"/>
        <v>6.5761072781744581</v>
      </c>
      <c r="P30" s="9">
        <f t="shared" si="2"/>
        <v>-1.7545794385021996</v>
      </c>
      <c r="Q30" s="9">
        <f t="shared" si="6"/>
        <v>0.81008288795353445</v>
      </c>
      <c r="R30" s="9">
        <f t="shared" si="6"/>
        <v>0.99860867614415327</v>
      </c>
      <c r="S30" s="9">
        <f t="shared" si="6"/>
        <v>0.14747052745602504</v>
      </c>
      <c r="T30" s="9">
        <f t="shared" si="4"/>
        <v>1.2003733162383672</v>
      </c>
      <c r="U30" s="14">
        <f t="shared" si="7"/>
        <v>4.0435379980978843E-6</v>
      </c>
      <c r="W30" s="14">
        <f t="shared" si="5"/>
        <v>1.5697434826782394E-3</v>
      </c>
      <c r="X30" s="16">
        <f t="shared" si="8"/>
        <v>0.16723898148145439</v>
      </c>
    </row>
    <row r="31" spans="1:24" x14ac:dyDescent="0.3">
      <c r="A31" s="9">
        <v>30</v>
      </c>
      <c r="B31" s="9">
        <v>0.93966736106488868</v>
      </c>
      <c r="C31" s="9">
        <v>0.96936441087182934</v>
      </c>
      <c r="D31" s="9">
        <v>0.91088009787415281</v>
      </c>
      <c r="E31" s="9">
        <v>0.47222222222222221</v>
      </c>
      <c r="F31" s="9">
        <v>0</v>
      </c>
      <c r="G31" s="9">
        <v>1.30581349505004</v>
      </c>
      <c r="H31" s="2"/>
      <c r="N31" s="9">
        <f t="shared" si="0"/>
        <v>1.6858267312787252</v>
      </c>
      <c r="O31" s="9">
        <f t="shared" si="1"/>
        <v>6.9215622244586399</v>
      </c>
      <c r="P31" s="9">
        <f t="shared" si="2"/>
        <v>-1.5152231832107335</v>
      </c>
      <c r="Q31" s="9">
        <f t="shared" si="6"/>
        <v>0.84367454569783218</v>
      </c>
      <c r="R31" s="9">
        <f t="shared" si="6"/>
        <v>0.99901468387217562</v>
      </c>
      <c r="S31" s="9">
        <f t="shared" si="6"/>
        <v>0.18016600729710702</v>
      </c>
      <c r="T31" s="9">
        <f t="shared" si="4"/>
        <v>1.3079954860248773</v>
      </c>
      <c r="U31" s="14">
        <f t="shared" si="7"/>
        <v>4.7610846142713829E-6</v>
      </c>
      <c r="W31" s="14">
        <f t="shared" si="5"/>
        <v>2.0463105719070507E-2</v>
      </c>
      <c r="X31" s="16">
        <f t="shared" si="8"/>
        <v>0.16709820989816568</v>
      </c>
    </row>
    <row r="32" spans="1:24" x14ac:dyDescent="0.3">
      <c r="A32" s="9">
        <v>31</v>
      </c>
      <c r="B32" s="9">
        <v>0.93311773293603162</v>
      </c>
      <c r="C32" s="9">
        <v>0.96598019282800607</v>
      </c>
      <c r="D32" s="9">
        <v>0.90137324759278015</v>
      </c>
      <c r="E32" s="9">
        <v>0.3203125</v>
      </c>
      <c r="F32" s="9">
        <v>0</v>
      </c>
      <c r="G32" s="9">
        <v>1.07072641408763</v>
      </c>
      <c r="N32" s="9">
        <f t="shared" si="0"/>
        <v>1.1869802745239617</v>
      </c>
      <c r="O32" s="9">
        <f t="shared" si="1"/>
        <v>6.8884812752538735</v>
      </c>
      <c r="P32" s="9">
        <f t="shared" si="2"/>
        <v>-2.0216623797942281</v>
      </c>
      <c r="Q32" s="9">
        <f t="shared" si="6"/>
        <v>0.76620055376665619</v>
      </c>
      <c r="R32" s="9">
        <f t="shared" si="6"/>
        <v>0.99898157729572246</v>
      </c>
      <c r="S32" s="9">
        <f t="shared" si="6"/>
        <v>0.11694720663858449</v>
      </c>
      <c r="T32" s="9">
        <f t="shared" si="4"/>
        <v>1.0722902523853266</v>
      </c>
      <c r="U32" s="14">
        <f t="shared" si="7"/>
        <v>2.4455902213425176E-6</v>
      </c>
      <c r="W32" s="14">
        <f t="shared" si="5"/>
        <v>8.4709508799354766E-3</v>
      </c>
      <c r="X32" s="16">
        <f t="shared" si="8"/>
        <v>0.14605395711930075</v>
      </c>
    </row>
    <row r="33" spans="1:24" x14ac:dyDescent="0.3">
      <c r="A33" s="9">
        <v>32</v>
      </c>
      <c r="B33" s="9">
        <v>0.67803485561868637</v>
      </c>
      <c r="C33" s="9">
        <v>0.82342871920931104</v>
      </c>
      <c r="D33" s="9">
        <v>0.55831337274136517</v>
      </c>
      <c r="E33" s="9">
        <v>6.0816326530612308E-2</v>
      </c>
      <c r="F33" s="9">
        <v>0</v>
      </c>
      <c r="G33" s="9">
        <v>0.62298337454097197</v>
      </c>
      <c r="N33" s="9">
        <f t="shared" si="0"/>
        <v>0.33898195982686896</v>
      </c>
      <c r="O33" s="9">
        <f t="shared" si="1"/>
        <v>4.7648882535671548</v>
      </c>
      <c r="P33" s="9">
        <f t="shared" si="2"/>
        <v>-2.9272431381341937</v>
      </c>
      <c r="Q33" s="9">
        <f t="shared" si="6"/>
        <v>0.58394320762995011</v>
      </c>
      <c r="R33" s="9">
        <f t="shared" si="6"/>
        <v>0.99154820108954889</v>
      </c>
      <c r="S33" s="9">
        <f t="shared" si="6"/>
        <v>5.0823151820037465E-2</v>
      </c>
      <c r="T33" s="9">
        <f t="shared" si="4"/>
        <v>0.62898828738644774</v>
      </c>
      <c r="U33" s="14">
        <f t="shared" si="7"/>
        <v>3.6058978281759955E-5</v>
      </c>
      <c r="W33" s="14">
        <f t="shared" si="5"/>
        <v>0.29136332102566803</v>
      </c>
      <c r="X33" s="16">
        <f t="shared" si="8"/>
        <v>0.96389616334470052</v>
      </c>
    </row>
    <row r="34" spans="1:24" x14ac:dyDescent="0.3">
      <c r="A34" s="9">
        <v>33</v>
      </c>
      <c r="B34" s="9">
        <v>0.89158042542455807</v>
      </c>
      <c r="C34" s="9">
        <v>0.94423536548074616</v>
      </c>
      <c r="D34" s="9">
        <v>0.8418617688562372</v>
      </c>
      <c r="E34" s="9">
        <v>0.2432653061224489</v>
      </c>
      <c r="F34" s="9">
        <v>0</v>
      </c>
      <c r="G34" s="9">
        <v>0.94697829811168099</v>
      </c>
      <c r="N34" s="9">
        <f t="shared" si="0"/>
        <v>0.93589022743127848</v>
      </c>
      <c r="O34" s="9">
        <f t="shared" si="1"/>
        <v>6.523146301161777</v>
      </c>
      <c r="P34" s="9">
        <f t="shared" si="2"/>
        <v>-2.2774021225068921</v>
      </c>
      <c r="Q34" s="9">
        <f t="shared" si="6"/>
        <v>0.7182687554926197</v>
      </c>
      <c r="R34" s="9">
        <f t="shared" si="6"/>
        <v>0.99853311513024712</v>
      </c>
      <c r="S34" s="9">
        <f t="shared" si="6"/>
        <v>9.3011880208062142E-2</v>
      </c>
      <c r="T34" s="9">
        <f t="shared" si="4"/>
        <v>0.94508414977053734</v>
      </c>
      <c r="U34" s="14">
        <f t="shared" si="7"/>
        <v>3.5877979382572533E-6</v>
      </c>
      <c r="W34" s="14">
        <f t="shared" si="5"/>
        <v>4.6563548055065629E-2</v>
      </c>
      <c r="X34" s="16">
        <f t="shared" si="8"/>
        <v>0.20002024807967339</v>
      </c>
    </row>
    <row r="35" spans="1:24" x14ac:dyDescent="0.3">
      <c r="A35" s="9">
        <v>34</v>
      </c>
      <c r="B35" s="9">
        <v>0.96611717808573394</v>
      </c>
      <c r="C35" s="9">
        <v>0.98291259941346465</v>
      </c>
      <c r="D35" s="9">
        <v>0.94960874685025021</v>
      </c>
      <c r="E35" s="9">
        <v>0.54734693877551011</v>
      </c>
      <c r="F35" s="9">
        <v>0</v>
      </c>
      <c r="G35" s="9">
        <v>1.41689333252468</v>
      </c>
      <c r="N35" s="9">
        <f t="shared" si="0"/>
        <v>1.931088181137895</v>
      </c>
      <c r="O35" s="9">
        <f t="shared" si="1"/>
        <v>7.1550920988226041</v>
      </c>
      <c r="P35" s="9">
        <f t="shared" si="2"/>
        <v>-1.2666038928100001</v>
      </c>
      <c r="Q35" s="9">
        <f t="shared" si="6"/>
        <v>0.87336981615386333</v>
      </c>
      <c r="R35" s="9">
        <f t="shared" si="6"/>
        <v>0.9992197316599436</v>
      </c>
      <c r="S35" s="9">
        <f t="shared" si="6"/>
        <v>0.21983916388958757</v>
      </c>
      <c r="T35" s="9">
        <f t="shared" si="4"/>
        <v>1.4160542413018944</v>
      </c>
      <c r="U35" s="14">
        <f t="shared" si="7"/>
        <v>7.0407408015580288E-7</v>
      </c>
      <c r="W35" s="14">
        <f t="shared" si="5"/>
        <v>6.458162471111778E-2</v>
      </c>
      <c r="X35" s="16">
        <f t="shared" si="8"/>
        <v>5.9220493422073903E-2</v>
      </c>
    </row>
    <row r="36" spans="1:24" x14ac:dyDescent="0.3">
      <c r="A36" s="9">
        <v>35</v>
      </c>
      <c r="B36" s="9">
        <v>0.98325960470347551</v>
      </c>
      <c r="C36" s="9">
        <v>0.99159447593432848</v>
      </c>
      <c r="D36" s="9">
        <v>0.97499479243333798</v>
      </c>
      <c r="E36" s="9">
        <v>0.62781249999999988</v>
      </c>
      <c r="F36" s="9">
        <v>0</v>
      </c>
      <c r="G36" s="9">
        <v>1.5279659931184599</v>
      </c>
      <c r="N36" s="9">
        <f t="shared" si="0"/>
        <v>2.1943790019513791</v>
      </c>
      <c r="O36" s="9">
        <f t="shared" si="1"/>
        <v>7.3025812969585289</v>
      </c>
      <c r="P36" s="9">
        <f t="shared" si="2"/>
        <v>-0.99980462507120116</v>
      </c>
      <c r="Q36" s="9">
        <f t="shared" si="6"/>
        <v>0.8997436065536204</v>
      </c>
      <c r="R36" s="9">
        <f t="shared" si="6"/>
        <v>0.99932665643938257</v>
      </c>
      <c r="S36" s="9">
        <f t="shared" si="6"/>
        <v>0.26897983614649129</v>
      </c>
      <c r="T36" s="9">
        <f t="shared" si="4"/>
        <v>1.5284649892994751</v>
      </c>
      <c r="U36" s="14">
        <f t="shared" si="7"/>
        <v>2.489971886676755E-7</v>
      </c>
      <c r="W36" s="14">
        <f t="shared" si="5"/>
        <v>0.13337236221867804</v>
      </c>
      <c r="X36" s="16">
        <f t="shared" si="8"/>
        <v>3.2657544949459813E-2</v>
      </c>
    </row>
    <row r="37" spans="1:24" x14ac:dyDescent="0.3">
      <c r="A37" s="9">
        <v>36</v>
      </c>
      <c r="B37" s="9">
        <v>0.63822315837842447</v>
      </c>
      <c r="C37" s="9">
        <v>0.79888870212215701</v>
      </c>
      <c r="D37" s="9">
        <v>0.50986927066124366</v>
      </c>
      <c r="E37" s="9">
        <v>4.4691358024691374E-2</v>
      </c>
      <c r="F37" s="9">
        <v>0</v>
      </c>
      <c r="G37" s="9">
        <v>0.60009277071759604</v>
      </c>
      <c r="N37" s="9">
        <f t="shared" si="0"/>
        <v>0.28470254503471704</v>
      </c>
      <c r="O37" s="9">
        <f t="shared" si="1"/>
        <v>4.4669639819867024</v>
      </c>
      <c r="P37" s="9">
        <f t="shared" si="2"/>
        <v>-3.0020176678486346</v>
      </c>
      <c r="Q37" s="9">
        <f t="shared" si="6"/>
        <v>0.57069873645878133</v>
      </c>
      <c r="R37" s="9">
        <f t="shared" si="6"/>
        <v>0.98864821961933436</v>
      </c>
      <c r="S37" s="9">
        <f t="shared" si="6"/>
        <v>4.7334804873113728E-2</v>
      </c>
      <c r="T37" s="9">
        <f t="shared" si="4"/>
        <v>0.60294362745140395</v>
      </c>
      <c r="U37" s="14">
        <f t="shared" si="7"/>
        <v>8.1273841166979389E-6</v>
      </c>
      <c r="W37" s="14">
        <f t="shared" si="5"/>
        <v>0.31659911803828744</v>
      </c>
      <c r="X37" s="16">
        <f t="shared" si="8"/>
        <v>0.47506933476282964</v>
      </c>
    </row>
    <row r="38" spans="1:24" x14ac:dyDescent="0.3">
      <c r="A38" s="9">
        <v>37</v>
      </c>
      <c r="B38" s="9">
        <v>0.86512518623928769</v>
      </c>
      <c r="C38" s="9">
        <v>0.93012105999127204</v>
      </c>
      <c r="D38" s="9">
        <v>0.80467115525003297</v>
      </c>
      <c r="E38" s="9">
        <v>0.17876543209876539</v>
      </c>
      <c r="F38" s="9">
        <v>0</v>
      </c>
      <c r="G38" s="9">
        <v>0.83431397387471595</v>
      </c>
      <c r="N38" s="9">
        <f t="shared" si="0"/>
        <v>0.72502416759527233</v>
      </c>
      <c r="O38" s="9">
        <f t="shared" si="1"/>
        <v>6.2981454617014236</v>
      </c>
      <c r="P38" s="9">
        <f t="shared" si="2"/>
        <v>-2.4929317972900327</v>
      </c>
      <c r="Q38" s="9">
        <f t="shared" si="6"/>
        <v>0.67371241209423671</v>
      </c>
      <c r="R38" s="9">
        <f t="shared" si="6"/>
        <v>0.99816366489602915</v>
      </c>
      <c r="S38" s="9">
        <f t="shared" si="6"/>
        <v>7.6355175183288618E-2</v>
      </c>
      <c r="T38" s="9">
        <f t="shared" si="4"/>
        <v>0.83329598772049718</v>
      </c>
      <c r="U38" s="14">
        <f t="shared" si="7"/>
        <v>1.0362958101811318E-6</v>
      </c>
      <c r="W38" s="14">
        <f t="shared" si="5"/>
        <v>0.10787953978011873</v>
      </c>
      <c r="X38" s="16">
        <f t="shared" si="8"/>
        <v>0.1220147553673409</v>
      </c>
    </row>
    <row r="39" spans="1:24" x14ac:dyDescent="0.3">
      <c r="A39" s="9">
        <v>38</v>
      </c>
      <c r="B39" s="9">
        <v>0.9598686322313662</v>
      </c>
      <c r="C39" s="9">
        <v>0.97972885648600039</v>
      </c>
      <c r="D39" s="9">
        <v>0.94041099743281709</v>
      </c>
      <c r="E39" s="9">
        <v>0.40222222222222215</v>
      </c>
      <c r="F39" s="9">
        <v>0</v>
      </c>
      <c r="G39" s="9">
        <v>1.2006069157675601</v>
      </c>
      <c r="N39" s="9">
        <f t="shared" si="0"/>
        <v>1.4545639705159144</v>
      </c>
      <c r="O39" s="9">
        <f t="shared" si="1"/>
        <v>7.1227113022286996</v>
      </c>
      <c r="P39" s="9">
        <f t="shared" si="2"/>
        <v>-1.7502559229285897</v>
      </c>
      <c r="Q39" s="9">
        <f t="shared" si="6"/>
        <v>0.81069983989514105</v>
      </c>
      <c r="R39" s="9">
        <f t="shared" si="6"/>
        <v>0.99919407313197151</v>
      </c>
      <c r="S39" s="9">
        <f t="shared" si="6"/>
        <v>0.14801492157840537</v>
      </c>
      <c r="T39" s="9">
        <f t="shared" si="4"/>
        <v>1.2011510334960063</v>
      </c>
      <c r="U39" s="14">
        <f t="shared" si="7"/>
        <v>2.9606410240945575E-7</v>
      </c>
      <c r="W39" s="14">
        <f t="shared" si="5"/>
        <v>1.4320724341846127E-3</v>
      </c>
      <c r="X39" s="16">
        <f t="shared" si="8"/>
        <v>4.5320222739042189E-2</v>
      </c>
    </row>
    <row r="40" spans="1:24" x14ac:dyDescent="0.3">
      <c r="A40" s="9">
        <v>39</v>
      </c>
      <c r="B40" s="9">
        <v>0.99334100566047745</v>
      </c>
      <c r="C40" s="9">
        <v>0.99666494152271545</v>
      </c>
      <c r="D40" s="9">
        <v>0.99002815531871613</v>
      </c>
      <c r="E40" s="9">
        <v>0.71506172839506177</v>
      </c>
      <c r="F40" s="9">
        <v>0</v>
      </c>
      <c r="G40" s="9">
        <v>1.6497380202441401</v>
      </c>
      <c r="N40" s="9">
        <f t="shared" si="0"/>
        <v>2.4804005337600135</v>
      </c>
      <c r="O40" s="9">
        <f t="shared" si="1"/>
        <v>7.3827614047639294</v>
      </c>
      <c r="P40" s="9">
        <f t="shared" si="2"/>
        <v>-0.70980402704277168</v>
      </c>
      <c r="Q40" s="9">
        <f t="shared" si="6"/>
        <v>0.9227563515696372</v>
      </c>
      <c r="R40" s="9">
        <f t="shared" si="6"/>
        <v>0.99937850524898619</v>
      </c>
      <c r="S40" s="9">
        <f t="shared" si="6"/>
        <v>0.32964214449680185</v>
      </c>
      <c r="T40" s="9">
        <f t="shared" si="4"/>
        <v>1.6474673585581043</v>
      </c>
      <c r="U40" s="14">
        <f t="shared" si="7"/>
        <v>5.1559044924306483E-6</v>
      </c>
      <c r="W40" s="14">
        <f t="shared" si="5"/>
        <v>0.237143518300131</v>
      </c>
      <c r="X40" s="16">
        <f t="shared" si="8"/>
        <v>0.13763771327157184</v>
      </c>
    </row>
    <row r="41" spans="1:24" x14ac:dyDescent="0.3">
      <c r="A41" s="9">
        <v>1</v>
      </c>
      <c r="B41" s="9">
        <v>1</v>
      </c>
      <c r="C41" s="9">
        <v>1</v>
      </c>
      <c r="D41" s="9">
        <v>1</v>
      </c>
      <c r="E41" s="9">
        <v>1</v>
      </c>
      <c r="F41" s="9">
        <v>0.1</v>
      </c>
      <c r="G41" s="9">
        <v>2.01515544038031</v>
      </c>
      <c r="N41" s="9">
        <f t="shared" si="0"/>
        <v>3.4254931514525282</v>
      </c>
      <c r="O41" s="9">
        <f t="shared" si="1"/>
        <v>7.3294606588363536</v>
      </c>
      <c r="P41" s="9">
        <f t="shared" si="2"/>
        <v>0.24353272770469481</v>
      </c>
      <c r="Q41" s="9">
        <f t="shared" si="6"/>
        <v>0.9684918294399828</v>
      </c>
      <c r="R41" s="9">
        <f t="shared" si="6"/>
        <v>0.9993445026982356</v>
      </c>
      <c r="S41" s="9">
        <f t="shared" si="6"/>
        <v>0.56058404995780764</v>
      </c>
      <c r="T41" s="9">
        <f t="shared" si="4"/>
        <v>2.0135646028738279</v>
      </c>
      <c r="U41" s="14">
        <f t="shared" si="7"/>
        <v>2.5307639720303307E-6</v>
      </c>
      <c r="W41" s="14">
        <f t="shared" si="5"/>
        <v>0.72657085590317505</v>
      </c>
      <c r="X41" s="16">
        <f t="shared" si="8"/>
        <v>7.8943662340107856E-2</v>
      </c>
    </row>
    <row r="42" spans="1:24" x14ac:dyDescent="0.3">
      <c r="A42" s="9">
        <v>2</v>
      </c>
      <c r="B42" s="9">
        <v>0.99805795702633637</v>
      </c>
      <c r="C42" s="9">
        <v>0.99902850661346809</v>
      </c>
      <c r="D42" s="9">
        <v>0.9970883503217095</v>
      </c>
      <c r="E42" s="9">
        <v>0.90500000000000003</v>
      </c>
      <c r="F42" s="9">
        <v>0.1</v>
      </c>
      <c r="G42" s="9">
        <v>1.89777331387601</v>
      </c>
      <c r="N42" s="9">
        <f t="shared" si="0"/>
        <v>3.1134358002274518</v>
      </c>
      <c r="O42" s="9">
        <f t="shared" si="1"/>
        <v>7.3280997349605679</v>
      </c>
      <c r="P42" s="9">
        <f t="shared" si="2"/>
        <v>-7.3196316909825754E-2</v>
      </c>
      <c r="Q42" s="9">
        <f t="shared" si="6"/>
        <v>0.95744356900464755</v>
      </c>
      <c r="R42" s="9">
        <f t="shared" si="6"/>
        <v>0.99934361059495547</v>
      </c>
      <c r="S42" s="9">
        <f t="shared" si="6"/>
        <v>0.48170908648026156</v>
      </c>
      <c r="T42" s="9">
        <f t="shared" si="4"/>
        <v>1.8980964834067122</v>
      </c>
      <c r="U42" s="14">
        <f t="shared" si="7"/>
        <v>1.0443854557429082E-7</v>
      </c>
      <c r="W42" s="14">
        <f t="shared" si="5"/>
        <v>0.54023842268218703</v>
      </c>
      <c r="X42" s="16">
        <f t="shared" si="8"/>
        <v>1.7028879494683978E-2</v>
      </c>
    </row>
    <row r="43" spans="1:24" x14ac:dyDescent="0.3">
      <c r="A43" s="9">
        <v>3</v>
      </c>
      <c r="B43" s="9">
        <v>0.99152490614171707</v>
      </c>
      <c r="C43" s="9">
        <v>0.99575343641973801</v>
      </c>
      <c r="D43" s="9">
        <v>0.98731433258637347</v>
      </c>
      <c r="E43" s="9">
        <v>0.82000000000000006</v>
      </c>
      <c r="F43" s="9">
        <v>0.1</v>
      </c>
      <c r="G43" s="9">
        <v>1.78932957639929</v>
      </c>
      <c r="N43" s="9">
        <f t="shared" si="0"/>
        <v>2.8345677719799958</v>
      </c>
      <c r="O43" s="9">
        <f t="shared" si="1"/>
        <v>7.2810942326797026</v>
      </c>
      <c r="P43" s="9">
        <f t="shared" si="2"/>
        <v>-0.3560443422539894</v>
      </c>
      <c r="Q43" s="9">
        <f t="shared" si="6"/>
        <v>0.94451546734274472</v>
      </c>
      <c r="R43" s="9">
        <f t="shared" si="6"/>
        <v>0.99931204176558519</v>
      </c>
      <c r="S43" s="9">
        <f t="shared" si="6"/>
        <v>0.41191745526896767</v>
      </c>
      <c r="T43" s="9">
        <f t="shared" si="4"/>
        <v>1.7894069772851742</v>
      </c>
      <c r="U43" s="14">
        <f t="shared" si="7"/>
        <v>5.9908971356510658E-9</v>
      </c>
      <c r="W43" s="14">
        <f t="shared" si="5"/>
        <v>0.39258419238554365</v>
      </c>
      <c r="X43" s="16">
        <f t="shared" si="8"/>
        <v>4.3256919745273924E-3</v>
      </c>
    </row>
    <row r="44" spans="1:24" x14ac:dyDescent="0.3">
      <c r="A44" s="9">
        <v>4</v>
      </c>
      <c r="B44" s="9">
        <v>0.97911342554320058</v>
      </c>
      <c r="C44" s="9">
        <v>0.98950160461881032</v>
      </c>
      <c r="D44" s="9">
        <v>0.96883430567881712</v>
      </c>
      <c r="E44" s="9">
        <v>0.74500000000000011</v>
      </c>
      <c r="F44" s="9">
        <v>0.1</v>
      </c>
      <c r="G44" s="9">
        <v>1.69366956989182</v>
      </c>
      <c r="N44" s="9">
        <f t="shared" si="0"/>
        <v>2.5889549660861539</v>
      </c>
      <c r="O44" s="9">
        <f t="shared" si="1"/>
        <v>7.1766851605586126</v>
      </c>
      <c r="P44" s="9">
        <f t="shared" si="2"/>
        <v>-0.60495404141144959</v>
      </c>
      <c r="Q44" s="9">
        <f t="shared" si="6"/>
        <v>0.93014734837904101</v>
      </c>
      <c r="R44" s="9">
        <f t="shared" si="6"/>
        <v>0.99923638671281234</v>
      </c>
      <c r="S44" s="9">
        <f t="shared" si="6"/>
        <v>0.35321110674956885</v>
      </c>
      <c r="T44" s="9">
        <f t="shared" si="4"/>
        <v>1.6907858612974465</v>
      </c>
      <c r="U44" s="14">
        <f t="shared" si="7"/>
        <v>8.3157752572641104E-6</v>
      </c>
      <c r="W44" s="14">
        <f t="shared" si="5"/>
        <v>0.28186052998321814</v>
      </c>
      <c r="X44" s="16">
        <f t="shared" si="8"/>
        <v>0.17026394319393612</v>
      </c>
    </row>
    <row r="45" spans="1:24" x14ac:dyDescent="0.3">
      <c r="A45" s="9">
        <v>5</v>
      </c>
      <c r="B45" s="9">
        <v>0.95913394700955001</v>
      </c>
      <c r="C45" s="9">
        <v>0.97935384157593941</v>
      </c>
      <c r="D45" s="9">
        <v>0.93933151558969652</v>
      </c>
      <c r="E45" s="9">
        <v>0.67999999999999994</v>
      </c>
      <c r="F45" s="9">
        <v>0.1</v>
      </c>
      <c r="G45" s="9">
        <v>1.60251643083659</v>
      </c>
      <c r="N45" s="9">
        <f t="shared" si="0"/>
        <v>2.3766504777719351</v>
      </c>
      <c r="O45" s="9">
        <f t="shared" si="1"/>
        <v>7.0001257527105807</v>
      </c>
      <c r="P45" s="9">
        <f t="shared" si="2"/>
        <v>-0.81997894618938005</v>
      </c>
      <c r="Q45" s="9">
        <f t="shared" si="6"/>
        <v>0.91502936860207573</v>
      </c>
      <c r="R45" s="9">
        <f t="shared" si="6"/>
        <v>0.9990890632611964</v>
      </c>
      <c r="S45" s="9">
        <f t="shared" si="6"/>
        <v>0.30576812904987444</v>
      </c>
      <c r="T45" s="9">
        <f t="shared" si="4"/>
        <v>1.6039363515249279</v>
      </c>
      <c r="U45" s="14">
        <f t="shared" si="7"/>
        <v>2.016174761169834E-6</v>
      </c>
      <c r="W45" s="14">
        <f t="shared" si="5"/>
        <v>0.19338203960362141</v>
      </c>
      <c r="X45" s="16">
        <f t="shared" si="8"/>
        <v>8.8605686719641544E-2</v>
      </c>
    </row>
    <row r="46" spans="1:24" x14ac:dyDescent="0.3">
      <c r="A46" s="9">
        <v>6</v>
      </c>
      <c r="B46" s="9">
        <v>0.92929286340991557</v>
      </c>
      <c r="C46" s="9">
        <v>0.96399837313655024</v>
      </c>
      <c r="D46" s="9">
        <v>0.89583680849456471</v>
      </c>
      <c r="E46" s="9">
        <v>0.625</v>
      </c>
      <c r="F46" s="9">
        <v>0.1</v>
      </c>
      <c r="G46" s="9">
        <v>1.53165120299226</v>
      </c>
      <c r="N46" s="9">
        <f t="shared" si="0"/>
        <v>2.1976671470608711</v>
      </c>
      <c r="O46" s="9">
        <f t="shared" si="1"/>
        <v>6.7325917202579761</v>
      </c>
      <c r="P46" s="9">
        <f t="shared" si="2"/>
        <v>-1.0014586413733984</v>
      </c>
      <c r="Q46" s="9">
        <f t="shared" si="6"/>
        <v>0.90003982422457018</v>
      </c>
      <c r="R46" s="9">
        <f t="shared" si="6"/>
        <v>0.99880997677129213</v>
      </c>
      <c r="S46" s="9">
        <f t="shared" si="6"/>
        <v>0.26865473174396026</v>
      </c>
      <c r="T46" s="9">
        <f t="shared" si="4"/>
        <v>1.529715415572904</v>
      </c>
      <c r="U46" s="14">
        <f t="shared" si="7"/>
        <v>3.747272932936811E-6</v>
      </c>
      <c r="W46" s="14">
        <f t="shared" si="5"/>
        <v>0.13607763362470673</v>
      </c>
      <c r="X46" s="16">
        <f t="shared" si="8"/>
        <v>0.12638565592310921</v>
      </c>
    </row>
    <row r="47" spans="1:24" x14ac:dyDescent="0.3">
      <c r="A47" s="9">
        <v>7</v>
      </c>
      <c r="B47" s="9">
        <v>0.88629579591014296</v>
      </c>
      <c r="C47" s="9">
        <v>0.94143284195429633</v>
      </c>
      <c r="D47" s="9">
        <v>0.83438796995583142</v>
      </c>
      <c r="E47" s="9">
        <v>0.58000000000000007</v>
      </c>
      <c r="F47" s="9">
        <v>0.1</v>
      </c>
      <c r="G47" s="9">
        <v>1.4664060150129501</v>
      </c>
      <c r="N47" s="9">
        <f t="shared" si="0"/>
        <v>2.0519156051157466</v>
      </c>
      <c r="O47" s="9">
        <f t="shared" si="1"/>
        <v>6.3491615091631273</v>
      </c>
      <c r="P47" s="9">
        <f t="shared" si="2"/>
        <v>-1.150471269475748</v>
      </c>
      <c r="Q47" s="9">
        <f t="shared" si="6"/>
        <v>0.88614103690026969</v>
      </c>
      <c r="R47" s="9">
        <f t="shared" si="6"/>
        <v>0.99825483853094765</v>
      </c>
      <c r="S47" s="9">
        <f t="shared" si="6"/>
        <v>0.24040301428425287</v>
      </c>
      <c r="T47" s="9">
        <f t="shared" si="4"/>
        <v>1.4686947134106032</v>
      </c>
      <c r="U47" s="14">
        <f t="shared" si="7"/>
        <v>5.2381403554199156E-6</v>
      </c>
      <c r="W47" s="14">
        <f t="shared" si="5"/>
        <v>9.2198362235380249E-2</v>
      </c>
      <c r="X47" s="16">
        <f t="shared" si="8"/>
        <v>0.15607535527143201</v>
      </c>
    </row>
    <row r="48" spans="1:24" x14ac:dyDescent="0.3">
      <c r="A48" s="9">
        <v>8</v>
      </c>
      <c r="B48" s="9">
        <v>0.82493648944805331</v>
      </c>
      <c r="C48" s="9">
        <v>0.90826014414816936</v>
      </c>
      <c r="D48" s="9">
        <v>0.74925693481917366</v>
      </c>
      <c r="E48" s="9">
        <v>0.54499999999999993</v>
      </c>
      <c r="F48" s="9">
        <v>0.1</v>
      </c>
      <c r="G48" s="9">
        <v>1.4227689385568401</v>
      </c>
      <c r="N48" s="9">
        <f t="shared" si="0"/>
        <v>1.9390468778900056</v>
      </c>
      <c r="O48" s="9">
        <f t="shared" si="1"/>
        <v>5.8143667128817711</v>
      </c>
      <c r="P48" s="9">
        <f t="shared" si="2"/>
        <v>-1.2701508894270042</v>
      </c>
      <c r="Q48" s="9">
        <f t="shared" si="6"/>
        <v>0.87424739567270382</v>
      </c>
      <c r="R48" s="9">
        <f t="shared" si="6"/>
        <v>0.99702451026933581</v>
      </c>
      <c r="S48" s="9">
        <f t="shared" si="6"/>
        <v>0.21923142340039242</v>
      </c>
      <c r="T48" s="9">
        <f t="shared" si="4"/>
        <v>1.4214780694949671</v>
      </c>
      <c r="U48" s="14">
        <f t="shared" si="7"/>
        <v>1.6663429349006816E-6</v>
      </c>
      <c r="W48" s="14">
        <f t="shared" si="5"/>
        <v>6.760247298684012E-2</v>
      </c>
      <c r="X48" s="16">
        <f t="shared" si="8"/>
        <v>9.0729353649109973E-2</v>
      </c>
    </row>
    <row r="49" spans="1:24" x14ac:dyDescent="0.3">
      <c r="A49" s="9">
        <v>9</v>
      </c>
      <c r="B49" s="9">
        <v>0.73549094564436945</v>
      </c>
      <c r="C49" s="9">
        <v>0.85760768749141325</v>
      </c>
      <c r="D49" s="9">
        <v>0.63076268906494071</v>
      </c>
      <c r="E49" s="9">
        <v>0.52</v>
      </c>
      <c r="F49" s="9">
        <v>0.1</v>
      </c>
      <c r="G49" s="9">
        <v>1.38975966652337</v>
      </c>
      <c r="N49" s="9">
        <f t="shared" si="0"/>
        <v>1.8579520179111026</v>
      </c>
      <c r="O49" s="9">
        <f t="shared" si="1"/>
        <v>5.0700645639165227</v>
      </c>
      <c r="P49" s="9">
        <f t="shared" si="2"/>
        <v>-1.3704294607641199</v>
      </c>
      <c r="Q49" s="9">
        <f t="shared" si="6"/>
        <v>0.86505806043196387</v>
      </c>
      <c r="R49" s="9">
        <f t="shared" si="6"/>
        <v>0.99375720280647117</v>
      </c>
      <c r="S49" s="9">
        <f t="shared" si="6"/>
        <v>0.20255046944518282</v>
      </c>
      <c r="T49" s="9">
        <f t="shared" si="4"/>
        <v>1.3891609798769919</v>
      </c>
      <c r="U49" s="14">
        <f t="shared" si="7"/>
        <v>3.5842570055142875E-7</v>
      </c>
      <c r="W49" s="14">
        <f t="shared" si="5"/>
        <v>5.1526949605196944E-2</v>
      </c>
      <c r="X49" s="16">
        <f t="shared" si="8"/>
        <v>4.3078430091136169E-2</v>
      </c>
    </row>
    <row r="50" spans="1:24" x14ac:dyDescent="0.3">
      <c r="A50" s="9">
        <v>10</v>
      </c>
      <c r="B50" s="9">
        <v>0.592782777626775</v>
      </c>
      <c r="C50" s="9">
        <v>0.76992387781310878</v>
      </c>
      <c r="D50" s="9">
        <v>0.45639761485123242</v>
      </c>
      <c r="E50" s="9">
        <v>0.50499999999999989</v>
      </c>
      <c r="F50" s="9">
        <v>0.1</v>
      </c>
      <c r="G50" s="9">
        <v>1.3756191275279701</v>
      </c>
      <c r="N50" s="9">
        <f t="shared" si="0"/>
        <v>1.8042971404863002</v>
      </c>
      <c r="O50" s="9">
        <f t="shared" si="1"/>
        <v>3.9893512481089251</v>
      </c>
      <c r="P50" s="9">
        <f t="shared" si="2"/>
        <v>-1.4942222544014374</v>
      </c>
      <c r="Q50" s="9">
        <f t="shared" si="6"/>
        <v>0.85867121856958095</v>
      </c>
      <c r="R50" s="9">
        <f t="shared" si="6"/>
        <v>0.98182473566135409</v>
      </c>
      <c r="S50" s="9">
        <f t="shared" si="6"/>
        <v>0.18328883572214802</v>
      </c>
      <c r="T50" s="9">
        <f t="shared" si="4"/>
        <v>1.3766595248876281</v>
      </c>
      <c r="U50" s="14">
        <f t="shared" si="7"/>
        <v>1.0824266659833301E-6</v>
      </c>
      <c r="W50" s="14">
        <f t="shared" si="5"/>
        <v>4.5307227471132756E-2</v>
      </c>
      <c r="X50" s="16">
        <f t="shared" si="8"/>
        <v>7.563120771136865E-2</v>
      </c>
    </row>
    <row r="51" spans="1:24" x14ac:dyDescent="0.3">
      <c r="A51" s="9">
        <v>11</v>
      </c>
      <c r="B51" s="9">
        <v>0.99798365800029631</v>
      </c>
      <c r="C51" s="9">
        <v>0.99899132028276216</v>
      </c>
      <c r="D51" s="9">
        <v>0.99697701212633671</v>
      </c>
      <c r="E51" s="9">
        <v>0.81</v>
      </c>
      <c r="F51" s="9">
        <v>0.1</v>
      </c>
      <c r="G51" s="9">
        <v>1.7763946876640899</v>
      </c>
      <c r="N51" s="9">
        <f t="shared" si="0"/>
        <v>2.8012429911621686</v>
      </c>
      <c r="O51" s="9">
        <f t="shared" si="1"/>
        <v>7.3446260292360286</v>
      </c>
      <c r="P51" s="9">
        <f t="shared" si="2"/>
        <v>-0.39014464111505198</v>
      </c>
      <c r="Q51" s="9">
        <f t="shared" si="6"/>
        <v>0.94274295605272174</v>
      </c>
      <c r="R51" s="9">
        <f t="shared" si="6"/>
        <v>0.99935436218903984</v>
      </c>
      <c r="S51" s="9">
        <f t="shared" si="6"/>
        <v>0.403682481784358</v>
      </c>
      <c r="T51" s="9">
        <f t="shared" si="4"/>
        <v>1.7759763222153742</v>
      </c>
      <c r="U51" s="14">
        <f t="shared" si="7"/>
        <v>1.7502964867914161E-7</v>
      </c>
      <c r="W51" s="14">
        <f t="shared" si="5"/>
        <v>0.37654239643052761</v>
      </c>
      <c r="X51" s="16">
        <f t="shared" si="8"/>
        <v>2.355137918510114E-2</v>
      </c>
    </row>
    <row r="52" spans="1:24" x14ac:dyDescent="0.3">
      <c r="A52" s="9">
        <v>12</v>
      </c>
      <c r="B52" s="9">
        <v>0.99082969587065506</v>
      </c>
      <c r="C52" s="9">
        <v>0.99540428764932243</v>
      </c>
      <c r="D52" s="9">
        <v>0.98627612759992478</v>
      </c>
      <c r="E52" s="9">
        <v>0.64000000000000012</v>
      </c>
      <c r="F52" s="9">
        <v>0.1</v>
      </c>
      <c r="G52" s="9">
        <v>1.54833749131568</v>
      </c>
      <c r="N52" s="9">
        <f t="shared" si="0"/>
        <v>2.2430834971215425</v>
      </c>
      <c r="O52" s="9">
        <f t="shared" si="1"/>
        <v>7.3071238438094497</v>
      </c>
      <c r="P52" s="9">
        <f t="shared" si="2"/>
        <v>-0.95651714321258652</v>
      </c>
      <c r="Q52" s="9">
        <f t="shared" si="6"/>
        <v>0.90405225973177206</v>
      </c>
      <c r="R52" s="9">
        <f t="shared" si="6"/>
        <v>0.99932970615185424</v>
      </c>
      <c r="S52" s="9">
        <f t="shared" si="6"/>
        <v>0.27757606243745653</v>
      </c>
      <c r="T52" s="9">
        <f t="shared" si="4"/>
        <v>1.5475233392542473</v>
      </c>
      <c r="U52" s="14">
        <f t="shared" si="7"/>
        <v>6.6284357913503212E-7</v>
      </c>
      <c r="W52" s="14">
        <f t="shared" si="5"/>
        <v>0.14866677619622709</v>
      </c>
      <c r="X52" s="16">
        <f t="shared" si="8"/>
        <v>5.2582338540471167E-2</v>
      </c>
    </row>
    <row r="53" spans="1:24" x14ac:dyDescent="0.3">
      <c r="A53" s="9">
        <v>13</v>
      </c>
      <c r="B53" s="9">
        <v>0.97635838312361378</v>
      </c>
      <c r="C53" s="9">
        <v>0.98810848752736347</v>
      </c>
      <c r="D53" s="9">
        <v>0.96474800523293669</v>
      </c>
      <c r="E53" s="9">
        <v>0.49</v>
      </c>
      <c r="F53" s="9">
        <v>0.1</v>
      </c>
      <c r="G53" s="9">
        <v>1.3357724715564001</v>
      </c>
      <c r="N53" s="9">
        <f t="shared" si="0"/>
        <v>1.7511350586243719</v>
      </c>
      <c r="O53" s="9">
        <f t="shared" si="1"/>
        <v>7.1968616072938394</v>
      </c>
      <c r="P53" s="9">
        <f t="shared" si="2"/>
        <v>-1.4554581746189843</v>
      </c>
      <c r="Q53" s="9">
        <f t="shared" si="6"/>
        <v>0.85209590884843234</v>
      </c>
      <c r="R53" s="9">
        <f t="shared" si="6"/>
        <v>0.99925162791179678</v>
      </c>
      <c r="S53" s="9">
        <f t="shared" si="6"/>
        <v>0.18916296865208909</v>
      </c>
      <c r="T53" s="9">
        <f t="shared" si="4"/>
        <v>1.3356487436903577</v>
      </c>
      <c r="U53" s="14">
        <f t="shared" si="7"/>
        <v>1.5308584835411614E-8</v>
      </c>
      <c r="W53" s="14">
        <f t="shared" si="5"/>
        <v>2.9931867958898999E-2</v>
      </c>
      <c r="X53" s="16">
        <f t="shared" si="8"/>
        <v>9.2626452990349877E-3</v>
      </c>
    </row>
    <row r="54" spans="1:24" x14ac:dyDescent="0.3">
      <c r="A54" s="9">
        <v>14</v>
      </c>
      <c r="B54" s="9">
        <v>0.95144310139704413</v>
      </c>
      <c r="C54" s="9">
        <v>0.97541944895365096</v>
      </c>
      <c r="D54" s="9">
        <v>0.92805610567545749</v>
      </c>
      <c r="E54" s="9">
        <v>0.35999999999999988</v>
      </c>
      <c r="F54" s="9">
        <v>0.1</v>
      </c>
      <c r="G54" s="9">
        <v>1.13742381053788</v>
      </c>
      <c r="N54" s="9">
        <f t="shared" si="0"/>
        <v>1.3255114839810662</v>
      </c>
      <c r="O54" s="9">
        <f t="shared" si="1"/>
        <v>6.9862259199220196</v>
      </c>
      <c r="P54" s="9">
        <f t="shared" si="2"/>
        <v>-1.8870152130177367</v>
      </c>
      <c r="Q54" s="9">
        <f t="shared" si="6"/>
        <v>0.79009721236149277</v>
      </c>
      <c r="R54" s="9">
        <f t="shared" si="6"/>
        <v>0.99907632476189012</v>
      </c>
      <c r="S54" s="9">
        <f t="shared" si="6"/>
        <v>0.13158516767489872</v>
      </c>
      <c r="T54" s="9">
        <f t="shared" si="4"/>
        <v>1.1391311909471624</v>
      </c>
      <c r="U54" s="14">
        <f t="shared" si="7"/>
        <v>2.9151478620014103E-6</v>
      </c>
      <c r="W54" s="14">
        <f t="shared" si="5"/>
        <v>6.4213446924174012E-4</v>
      </c>
      <c r="X54" s="16">
        <f t="shared" si="8"/>
        <v>0.15010943093190682</v>
      </c>
    </row>
    <row r="55" spans="1:24" x14ac:dyDescent="0.3">
      <c r="A55" s="9">
        <v>15</v>
      </c>
      <c r="B55" s="9">
        <v>0.91157954485698101</v>
      </c>
      <c r="C55" s="9">
        <v>0.95476674892718227</v>
      </c>
      <c r="D55" s="9">
        <v>0.87034583843162083</v>
      </c>
      <c r="E55" s="9">
        <v>0.25</v>
      </c>
      <c r="F55" s="9">
        <v>0.1</v>
      </c>
      <c r="G55" s="9">
        <v>0.96326567395974305</v>
      </c>
      <c r="N55" s="9">
        <f t="shared" si="0"/>
        <v>0.96624384616867809</v>
      </c>
      <c r="O55" s="9">
        <f t="shared" si="1"/>
        <v>6.6381101003917156</v>
      </c>
      <c r="P55" s="9">
        <f t="shared" si="2"/>
        <v>-2.2518657438475813</v>
      </c>
      <c r="Q55" s="9">
        <f t="shared" si="6"/>
        <v>0.72437018393035379</v>
      </c>
      <c r="R55" s="9">
        <f t="shared" si="6"/>
        <v>0.99869221281721088</v>
      </c>
      <c r="S55" s="9">
        <f t="shared" si="6"/>
        <v>9.5188651126866655E-2</v>
      </c>
      <c r="T55" s="9">
        <f t="shared" si="4"/>
        <v>0.96005735037934281</v>
      </c>
      <c r="U55" s="14">
        <f t="shared" si="7"/>
        <v>1.029334019655222E-5</v>
      </c>
      <c r="W55" s="14">
        <f t="shared" si="5"/>
        <v>3.9799655051993649E-2</v>
      </c>
      <c r="X55" s="16">
        <f t="shared" si="8"/>
        <v>0.33306736315139612</v>
      </c>
    </row>
    <row r="56" spans="1:24" x14ac:dyDescent="0.3">
      <c r="A56" s="9">
        <v>16</v>
      </c>
      <c r="B56" s="9">
        <v>0.85026083486688353</v>
      </c>
      <c r="C56" s="9">
        <v>0.92209589244659562</v>
      </c>
      <c r="D56" s="9">
        <v>0.78402202333896664</v>
      </c>
      <c r="E56" s="9">
        <v>0.15999999999999992</v>
      </c>
      <c r="F56" s="9">
        <v>0.1</v>
      </c>
      <c r="G56" s="9">
        <v>0.80298575162469099</v>
      </c>
      <c r="N56" s="9">
        <f t="shared" si="0"/>
        <v>0.67306657444126528</v>
      </c>
      <c r="O56" s="9">
        <f t="shared" si="1"/>
        <v>6.1049759223373066</v>
      </c>
      <c r="P56" s="9">
        <f t="shared" si="2"/>
        <v>-2.5527403155216311</v>
      </c>
      <c r="Q56" s="9">
        <f t="shared" si="6"/>
        <v>0.66218947607868106</v>
      </c>
      <c r="R56" s="9">
        <f t="shared" si="6"/>
        <v>0.99777323444647004</v>
      </c>
      <c r="S56" s="9">
        <f t="shared" si="6"/>
        <v>7.2242604093284174E-2</v>
      </c>
      <c r="T56" s="9">
        <f t="shared" si="4"/>
        <v>0.80519266349658891</v>
      </c>
      <c r="U56" s="14">
        <f t="shared" si="7"/>
        <v>4.8704600103239848E-6</v>
      </c>
      <c r="W56" s="14">
        <f t="shared" si="5"/>
        <v>0.12944051957955702</v>
      </c>
      <c r="X56" s="16">
        <f t="shared" si="8"/>
        <v>0.27483823560164655</v>
      </c>
    </row>
    <row r="57" spans="1:24" x14ac:dyDescent="0.3">
      <c r="A57" s="9">
        <v>17</v>
      </c>
      <c r="B57" s="9">
        <v>0.75804016693539389</v>
      </c>
      <c r="C57" s="9">
        <v>0.87065502177119147</v>
      </c>
      <c r="D57" s="9">
        <v>0.65999147804657321</v>
      </c>
      <c r="E57" s="9">
        <v>9.000000000000008E-2</v>
      </c>
      <c r="F57" s="9">
        <v>0.1</v>
      </c>
      <c r="G57" s="9">
        <v>0.683220299086989</v>
      </c>
      <c r="N57" s="9">
        <f t="shared" si="0"/>
        <v>0.44482512608394786</v>
      </c>
      <c r="O57" s="9">
        <f t="shared" si="1"/>
        <v>5.3321665521992543</v>
      </c>
      <c r="P57" s="9">
        <f t="shared" si="2"/>
        <v>-2.7991444097092018</v>
      </c>
      <c r="Q57" s="9">
        <f t="shared" si="6"/>
        <v>0.60940815921198765</v>
      </c>
      <c r="R57" s="9">
        <f t="shared" si="6"/>
        <v>0.99518966472893766</v>
      </c>
      <c r="S57" s="9">
        <f t="shared" si="6"/>
        <v>5.7370427900271463E-2</v>
      </c>
      <c r="T57" s="9">
        <f t="shared" si="4"/>
        <v>0.68266942051623825</v>
      </c>
      <c r="U57" s="14">
        <f t="shared" si="7"/>
        <v>3.0346719971239664E-7</v>
      </c>
      <c r="W57" s="14">
        <f t="shared" si="5"/>
        <v>0.2299623364606603</v>
      </c>
      <c r="X57" s="16">
        <f t="shared" si="8"/>
        <v>8.0629713649742987E-2</v>
      </c>
    </row>
    <row r="58" spans="1:24" x14ac:dyDescent="0.3">
      <c r="A58" s="9">
        <v>18</v>
      </c>
      <c r="B58" s="9">
        <v>0.62081341767015485</v>
      </c>
      <c r="C58" s="9">
        <v>0.78791713883514092</v>
      </c>
      <c r="D58" s="9">
        <v>0.48914953180113391</v>
      </c>
      <c r="E58" s="9">
        <v>4.0000000000000036E-2</v>
      </c>
      <c r="F58" s="9">
        <v>0.1</v>
      </c>
      <c r="G58" s="9">
        <v>0.600577804932245</v>
      </c>
      <c r="N58" s="9">
        <f t="shared" si="0"/>
        <v>0.27769400329271698</v>
      </c>
      <c r="O58" s="9">
        <f t="shared" si="1"/>
        <v>4.274655117358666</v>
      </c>
      <c r="P58" s="9">
        <f t="shared" si="2"/>
        <v>-3.0252498538783357</v>
      </c>
      <c r="Q58" s="9">
        <f t="shared" si="6"/>
        <v>0.56898078769390581</v>
      </c>
      <c r="R58" s="9">
        <f t="shared" si="6"/>
        <v>0.98627417267612671</v>
      </c>
      <c r="S58" s="9">
        <f t="shared" si="6"/>
        <v>4.6298116399554508E-2</v>
      </c>
      <c r="T58" s="9">
        <f t="shared" si="4"/>
        <v>0.60279816514643636</v>
      </c>
      <c r="U58" s="14">
        <f t="shared" si="7"/>
        <v>4.9299994807639179E-6</v>
      </c>
      <c r="W58" s="14">
        <f t="shared" si="5"/>
        <v>0.31605352352349247</v>
      </c>
      <c r="X58" s="16">
        <f t="shared" si="8"/>
        <v>0.36970400770002759</v>
      </c>
    </row>
    <row r="59" spans="1:24" x14ac:dyDescent="0.3">
      <c r="A59" s="9">
        <v>19</v>
      </c>
      <c r="B59" s="9">
        <v>0.41411550520763146</v>
      </c>
      <c r="C59" s="9">
        <v>0.64351806906071529</v>
      </c>
      <c r="D59" s="9">
        <v>0.26649081027931787</v>
      </c>
      <c r="E59" s="9">
        <v>1.0000000000000009E-2</v>
      </c>
      <c r="F59" s="9">
        <v>0.1</v>
      </c>
      <c r="G59" s="9">
        <v>0.595924350972308</v>
      </c>
      <c r="N59" s="9">
        <f t="shared" si="0"/>
        <v>0.15798062367162177</v>
      </c>
      <c r="O59" s="9">
        <f t="shared" si="1"/>
        <v>2.9632627709357418</v>
      </c>
      <c r="P59" s="9">
        <f t="shared" si="2"/>
        <v>-3.3825331553940607</v>
      </c>
      <c r="Q59" s="9">
        <f t="shared" si="6"/>
        <v>0.53941321747433668</v>
      </c>
      <c r="R59" s="9">
        <f t="shared" si="6"/>
        <v>0.9508865938537775</v>
      </c>
      <c r="S59" s="9">
        <f t="shared" si="6"/>
        <v>3.2845828803920132E-2</v>
      </c>
      <c r="T59" s="9">
        <f t="shared" si="4"/>
        <v>0.59470896302538856</v>
      </c>
      <c r="U59" s="14">
        <f t="shared" si="7"/>
        <v>1.4771678615170611E-6</v>
      </c>
      <c r="W59" s="14">
        <f t="shared" si="5"/>
        <v>0.32130739501039746</v>
      </c>
      <c r="X59" s="16">
        <f t="shared" si="8"/>
        <v>0.20395003911761977</v>
      </c>
    </row>
    <row r="60" spans="1:24" x14ac:dyDescent="0.3">
      <c r="A60" s="9">
        <v>20</v>
      </c>
      <c r="B60" s="9">
        <v>0.6046213212551188</v>
      </c>
      <c r="C60" s="9">
        <v>0.77757399728586529</v>
      </c>
      <c r="D60" s="9">
        <v>0.47013781761260415</v>
      </c>
      <c r="E60" s="9">
        <v>0.13</v>
      </c>
      <c r="F60" s="9">
        <v>0.1</v>
      </c>
      <c r="G60" s="9">
        <v>0.77389758924473795</v>
      </c>
      <c r="N60" s="9">
        <f t="shared" si="0"/>
        <v>0.57262349238643684</v>
      </c>
      <c r="O60" s="9">
        <f t="shared" si="1"/>
        <v>4.1414983010115769</v>
      </c>
      <c r="P60" s="9">
        <f t="shared" si="2"/>
        <v>-2.7363382516532848</v>
      </c>
      <c r="Q60" s="9">
        <f t="shared" si="6"/>
        <v>0.63936831168210284</v>
      </c>
      <c r="R60" s="9">
        <f t="shared" si="6"/>
        <v>0.98434981041060898</v>
      </c>
      <c r="S60" s="9">
        <f t="shared" si="6"/>
        <v>6.0862867397208413E-2</v>
      </c>
      <c r="T60" s="9">
        <f t="shared" si="4"/>
        <v>0.77054744217972015</v>
      </c>
      <c r="U60" s="14">
        <f t="shared" si="7"/>
        <v>1.1223485357247342E-5</v>
      </c>
      <c r="W60" s="14">
        <f t="shared" si="5"/>
        <v>0.1512172276271456</v>
      </c>
      <c r="X60" s="16">
        <f t="shared" si="8"/>
        <v>0.43289281573900101</v>
      </c>
    </row>
    <row r="61" spans="1:24" x14ac:dyDescent="0.3">
      <c r="A61" s="9">
        <v>21</v>
      </c>
      <c r="B61" s="9">
        <v>0.5360450892996631</v>
      </c>
      <c r="C61" s="9">
        <v>0.73215100170638503</v>
      </c>
      <c r="D61" s="9">
        <v>0.39246594909053695</v>
      </c>
      <c r="E61" s="9">
        <v>3.6250000000000004E-2</v>
      </c>
      <c r="F61" s="9">
        <v>0.1</v>
      </c>
      <c r="G61" s="9">
        <v>0.60352740199347199</v>
      </c>
      <c r="N61" s="9">
        <f t="shared" si="0"/>
        <v>0.25960544730723034</v>
      </c>
      <c r="O61" s="9">
        <f t="shared" si="1"/>
        <v>3.6874697304932584</v>
      </c>
      <c r="P61" s="9">
        <f t="shared" si="2"/>
        <v>-3.1109495854945983</v>
      </c>
      <c r="Q61" s="9">
        <f t="shared" si="6"/>
        <v>0.56453929953961079</v>
      </c>
      <c r="R61" s="9">
        <f t="shared" si="6"/>
        <v>0.97557618871599849</v>
      </c>
      <c r="S61" s="9">
        <f t="shared" si="6"/>
        <v>4.2657848052004989E-2</v>
      </c>
      <c r="T61" s="9">
        <f t="shared" si="4"/>
        <v>0.61023859457240381</v>
      </c>
      <c r="U61" s="14">
        <f t="shared" si="7"/>
        <v>4.5040105831509588E-5</v>
      </c>
      <c r="W61" s="14">
        <f t="shared" si="5"/>
        <v>0.31274577706994217</v>
      </c>
      <c r="X61" s="16">
        <f t="shared" si="8"/>
        <v>1.1119946760933344</v>
      </c>
    </row>
    <row r="62" spans="1:24" x14ac:dyDescent="0.3">
      <c r="A62" s="9">
        <v>22</v>
      </c>
      <c r="B62" s="9">
        <v>0.482056160699321</v>
      </c>
      <c r="C62" s="9">
        <v>0.69430264344831716</v>
      </c>
      <c r="D62" s="9">
        <v>0.33469286666408549</v>
      </c>
      <c r="E62" s="9">
        <v>1.8888888888888844E-2</v>
      </c>
      <c r="F62" s="9">
        <v>0.1</v>
      </c>
      <c r="G62" s="9">
        <v>0.59552906453156595</v>
      </c>
      <c r="N62" s="9">
        <f t="shared" si="0"/>
        <v>0.19691045108632912</v>
      </c>
      <c r="O62" s="9">
        <f t="shared" si="1"/>
        <v>3.3492168508856013</v>
      </c>
      <c r="P62" s="9">
        <f t="shared" si="2"/>
        <v>-3.2365012979854457</v>
      </c>
      <c r="Q62" s="9">
        <f t="shared" si="6"/>
        <v>0.54906916560553354</v>
      </c>
      <c r="R62" s="9">
        <f t="shared" si="6"/>
        <v>0.96607918125569769</v>
      </c>
      <c r="S62" s="9">
        <f t="shared" si="6"/>
        <v>3.7814985175863562E-2</v>
      </c>
      <c r="T62" s="9">
        <f t="shared" si="4"/>
        <v>0.59089643006639969</v>
      </c>
      <c r="U62" s="14">
        <f t="shared" si="7"/>
        <v>2.1461302087846308E-5</v>
      </c>
      <c r="W62" s="14">
        <f t="shared" si="5"/>
        <v>0.32175567946100025</v>
      </c>
      <c r="X62" s="16">
        <f t="shared" si="8"/>
        <v>0.77790232938676507</v>
      </c>
    </row>
    <row r="63" spans="1:24" x14ac:dyDescent="0.3">
      <c r="A63" s="9">
        <v>23</v>
      </c>
      <c r="B63" s="9">
        <v>0.44329834371454524</v>
      </c>
      <c r="C63" s="9">
        <v>0.66580653625099329</v>
      </c>
      <c r="D63" s="9">
        <v>0.29515093475438386</v>
      </c>
      <c r="E63" s="9">
        <v>1.2812500000000004E-2</v>
      </c>
      <c r="F63" s="9">
        <v>0.1</v>
      </c>
      <c r="G63" s="9">
        <v>0.59556522226772701</v>
      </c>
      <c r="N63" s="9">
        <f t="shared" si="0"/>
        <v>0.17178870241564195</v>
      </c>
      <c r="O63" s="9">
        <f t="shared" si="1"/>
        <v>3.1230677565238416</v>
      </c>
      <c r="P63" s="9">
        <f t="shared" si="2"/>
        <v>-3.3182748662323309</v>
      </c>
      <c r="Q63" s="9">
        <f t="shared" si="6"/>
        <v>0.54284186724840144</v>
      </c>
      <c r="R63" s="9">
        <f t="shared" si="6"/>
        <v>0.9578343021146204</v>
      </c>
      <c r="S63" s="9">
        <f t="shared" si="6"/>
        <v>3.4949547317687339E-2</v>
      </c>
      <c r="T63" s="9">
        <f t="shared" si="4"/>
        <v>0.59070751143915035</v>
      </c>
      <c r="U63" s="14">
        <f t="shared" si="7"/>
        <v>2.3597354494071008E-5</v>
      </c>
      <c r="W63" s="14">
        <f t="shared" si="5"/>
        <v>0.32171466089288275</v>
      </c>
      <c r="X63" s="16">
        <f t="shared" si="8"/>
        <v>0.8156471612093158</v>
      </c>
    </row>
    <row r="64" spans="1:24" x14ac:dyDescent="0.3">
      <c r="A64" s="9">
        <v>24</v>
      </c>
      <c r="B64" s="9">
        <v>0.75641498946707786</v>
      </c>
      <c r="C64" s="9">
        <v>0.86972121364669375</v>
      </c>
      <c r="D64" s="9">
        <v>0.65787016265985809</v>
      </c>
      <c r="E64" s="9">
        <v>0.24222222222222223</v>
      </c>
      <c r="F64" s="9">
        <v>0.1</v>
      </c>
      <c r="G64" s="9">
        <v>0.95238445191628696</v>
      </c>
      <c r="N64" s="9">
        <f t="shared" si="0"/>
        <v>0.94507971790761791</v>
      </c>
      <c r="O64" s="9">
        <f t="shared" si="1"/>
        <v>5.2911701964603246</v>
      </c>
      <c r="P64" s="9">
        <f t="shared" si="2"/>
        <v>-2.2916579151624799</v>
      </c>
      <c r="Q64" s="9">
        <f t="shared" si="6"/>
        <v>0.72012459384112504</v>
      </c>
      <c r="R64" s="9">
        <f t="shared" si="6"/>
        <v>0.99498936899526724</v>
      </c>
      <c r="S64" s="9">
        <f t="shared" si="6"/>
        <v>9.1816209440625879E-2</v>
      </c>
      <c r="T64" s="9">
        <f t="shared" si="4"/>
        <v>0.95450502945163018</v>
      </c>
      <c r="U64" s="14">
        <f t="shared" si="7"/>
        <v>4.4968490834023535E-6</v>
      </c>
      <c r="W64" s="14">
        <f t="shared" si="5"/>
        <v>4.4259631190438721E-2</v>
      </c>
      <c r="X64" s="16">
        <f t="shared" si="8"/>
        <v>0.22265982304482454</v>
      </c>
    </row>
    <row r="65" spans="1:24" x14ac:dyDescent="0.3">
      <c r="A65" s="9">
        <v>25</v>
      </c>
      <c r="B65" s="9">
        <v>0.84330333318766382</v>
      </c>
      <c r="C65" s="9">
        <v>0.91831548674062113</v>
      </c>
      <c r="D65" s="9">
        <v>0.77441851088621827</v>
      </c>
      <c r="E65" s="9">
        <v>0.32624999999999993</v>
      </c>
      <c r="F65" s="9">
        <v>0.1</v>
      </c>
      <c r="G65" s="9">
        <v>1.0900685555270999</v>
      </c>
      <c r="N65" s="9">
        <f t="shared" si="0"/>
        <v>1.2196399965093621</v>
      </c>
      <c r="O65" s="9">
        <f t="shared" si="1"/>
        <v>6.0137934496617458</v>
      </c>
      <c r="P65" s="9">
        <f t="shared" si="2"/>
        <v>-1.998485855921694</v>
      </c>
      <c r="Q65" s="9">
        <f t="shared" si="6"/>
        <v>0.77200018929442027</v>
      </c>
      <c r="R65" s="9">
        <f t="shared" si="6"/>
        <v>0.99756116609662537</v>
      </c>
      <c r="S65" s="9">
        <f t="shared" si="6"/>
        <v>0.11936198912249589</v>
      </c>
      <c r="T65" s="9">
        <f t="shared" si="4"/>
        <v>1.090009361381606</v>
      </c>
      <c r="U65" s="14">
        <f t="shared" si="7"/>
        <v>3.5039468607571297E-9</v>
      </c>
      <c r="W65" s="14">
        <f t="shared" si="5"/>
        <v>5.2846542328019884E-3</v>
      </c>
      <c r="X65" s="16">
        <f t="shared" si="8"/>
        <v>5.4303140104166835E-3</v>
      </c>
    </row>
    <row r="66" spans="1:24" x14ac:dyDescent="0.3">
      <c r="A66" s="9">
        <v>26</v>
      </c>
      <c r="B66" s="9">
        <v>0.82722243711388821</v>
      </c>
      <c r="C66" s="9">
        <v>0.90951769477778055</v>
      </c>
      <c r="D66" s="9">
        <v>0.75237344407228135</v>
      </c>
      <c r="E66" s="9">
        <v>0.17000000000000004</v>
      </c>
      <c r="F66" s="9">
        <v>0.1</v>
      </c>
      <c r="G66" s="9">
        <v>0.82324068227163005</v>
      </c>
      <c r="N66" s="9">
        <f t="shared" ref="N66:N129" si="9">B66*$I$1+C66*$J$1+D66*$K$1+E66*$L$1+F66*$M$1+$I$4</f>
        <v>0.70662523926322296</v>
      </c>
      <c r="O66" s="9">
        <f t="shared" ref="O66:O129" si="10">$I$2*B66+$J$2*C66+$K$2*D66+$L$2*E66+$M$2*F66+$I$5</f>
        <v>5.9021831853359972</v>
      </c>
      <c r="P66" s="9">
        <f t="shared" ref="P66:P129" si="11">$I$3*B66+$J$3*C66+$K$3*D66+$L$3*E66+$M$3*F66+$I$6</f>
        <v>-2.5210782602568056</v>
      </c>
      <c r="Q66" s="9">
        <f t="shared" si="6"/>
        <v>0.66965503268924154</v>
      </c>
      <c r="R66" s="9">
        <f t="shared" si="6"/>
        <v>0.99727398086646124</v>
      </c>
      <c r="S66" s="9">
        <f t="shared" si="6"/>
        <v>7.4393662895943846E-2</v>
      </c>
      <c r="T66" s="9">
        <f t="shared" ref="T66:T129" si="12">$I$7*Q66+$J$7*R66+$K$7*S66+$I$8</f>
        <v>0.82427376654530382</v>
      </c>
      <c r="U66" s="14">
        <f t="shared" si="7"/>
        <v>1.0672631165120564E-6</v>
      </c>
      <c r="W66" s="14">
        <f t="shared" ref="W66:W129" si="13">(G66-$V$4)^2</f>
        <v>0.11527620744934332</v>
      </c>
      <c r="X66" s="16">
        <f t="shared" si="8"/>
        <v>0.12548994430439231</v>
      </c>
    </row>
    <row r="67" spans="1:24" x14ac:dyDescent="0.3">
      <c r="A67" s="9">
        <v>27</v>
      </c>
      <c r="B67" s="9">
        <v>0.79294453563825062</v>
      </c>
      <c r="C67" s="9">
        <v>0.8904743318244781</v>
      </c>
      <c r="D67" s="9">
        <v>0.70609675554634266</v>
      </c>
      <c r="E67" s="9">
        <v>0.11531250000000004</v>
      </c>
      <c r="F67" s="9">
        <v>0.1</v>
      </c>
      <c r="G67" s="9">
        <v>0.72718197018897202</v>
      </c>
      <c r="N67" s="9">
        <f t="shared" si="9"/>
        <v>0.52764327585470894</v>
      </c>
      <c r="O67" s="9">
        <f t="shared" si="10"/>
        <v>5.6188462838430517</v>
      </c>
      <c r="P67" s="9">
        <f t="shared" si="11"/>
        <v>-2.707838082584467</v>
      </c>
      <c r="Q67" s="9">
        <f t="shared" ref="Q67:S130" si="14">1/(1+EXP(-N67))</f>
        <v>0.62893327594527049</v>
      </c>
      <c r="R67" s="9">
        <f t="shared" si="14"/>
        <v>0.99638429543110918</v>
      </c>
      <c r="S67" s="9">
        <f t="shared" si="14"/>
        <v>6.2512429972876898E-2</v>
      </c>
      <c r="T67" s="9">
        <f t="shared" si="12"/>
        <v>0.72710409281571964</v>
      </c>
      <c r="U67" s="14">
        <f t="shared" ref="U67:U130" si="15">(G67-T67)^2</f>
        <v>6.0648852646901105E-9</v>
      </c>
      <c r="W67" s="14">
        <f t="shared" si="13"/>
        <v>0.1897318639922615</v>
      </c>
      <c r="X67" s="16">
        <f t="shared" ref="X67:X130" si="16">100*ABS((T67-G67)/G67)</f>
        <v>1.0709475268224749E-2</v>
      </c>
    </row>
    <row r="68" spans="1:24" x14ac:dyDescent="0.3">
      <c r="A68" s="9">
        <v>28</v>
      </c>
      <c r="B68" s="9">
        <v>0.72336966320800022</v>
      </c>
      <c r="C68" s="9">
        <v>0.8505114127441209</v>
      </c>
      <c r="D68" s="9">
        <v>0.61523415419127547</v>
      </c>
      <c r="E68" s="9">
        <v>9.9999999999999978E-2</v>
      </c>
      <c r="F68" s="9">
        <v>0.1</v>
      </c>
      <c r="G68" s="9">
        <v>0.70753301496180199</v>
      </c>
      <c r="N68" s="9">
        <f t="shared" si="9"/>
        <v>0.47764445089685581</v>
      </c>
      <c r="O68" s="9">
        <f t="shared" si="10"/>
        <v>5.0486870986410359</v>
      </c>
      <c r="P68" s="9">
        <f t="shared" si="11"/>
        <v>-2.7754378479606494</v>
      </c>
      <c r="Q68" s="9">
        <f t="shared" si="14"/>
        <v>0.61719149208853841</v>
      </c>
      <c r="R68" s="9">
        <f t="shared" si="14"/>
        <v>0.99362317112254728</v>
      </c>
      <c r="S68" s="9">
        <f t="shared" si="14"/>
        <v>5.8665990475482661E-2</v>
      </c>
      <c r="T68" s="9">
        <f t="shared" si="12"/>
        <v>0.70350402559327496</v>
      </c>
      <c r="U68" s="14">
        <f t="shared" si="15"/>
        <v>1.6232755331703796E-5</v>
      </c>
      <c r="W68" s="14">
        <f t="shared" si="13"/>
        <v>0.20723541622268912</v>
      </c>
      <c r="X68" s="16">
        <f t="shared" si="16"/>
        <v>0.56944188939996532</v>
      </c>
    </row>
    <row r="69" spans="1:24" x14ac:dyDescent="0.3">
      <c r="A69" s="9">
        <v>29</v>
      </c>
      <c r="B69" s="9">
        <v>0.90058022766249946</v>
      </c>
      <c r="C69" s="9">
        <v>0.94898905560733393</v>
      </c>
      <c r="D69" s="9">
        <v>0.85464077974807318</v>
      </c>
      <c r="E69" s="9">
        <v>0.39999999999999991</v>
      </c>
      <c r="F69" s="9">
        <v>0.1</v>
      </c>
      <c r="G69" s="9">
        <v>1.2055437430607601</v>
      </c>
      <c r="N69" s="9">
        <f t="shared" si="9"/>
        <v>1.4597289463839338</v>
      </c>
      <c r="O69" s="9">
        <f t="shared" si="10"/>
        <v>6.5108139314379265</v>
      </c>
      <c r="P69" s="9">
        <f t="shared" si="11"/>
        <v>-1.7511383979976518</v>
      </c>
      <c r="Q69" s="9">
        <f t="shared" si="14"/>
        <v>0.81149121434161309</v>
      </c>
      <c r="R69" s="9">
        <f t="shared" si="14"/>
        <v>0.99851493998773566</v>
      </c>
      <c r="S69" s="9">
        <f t="shared" si="14"/>
        <v>0.14790367029595405</v>
      </c>
      <c r="T69" s="9">
        <f t="shared" si="12"/>
        <v>1.2040040198564119</v>
      </c>
      <c r="U69" s="14">
        <f t="shared" si="15"/>
        <v>2.3707475460081115E-6</v>
      </c>
      <c r="W69" s="14">
        <f t="shared" si="13"/>
        <v>1.8300907712775804E-3</v>
      </c>
      <c r="X69" s="16">
        <f t="shared" si="16"/>
        <v>0.12772022692755491</v>
      </c>
    </row>
    <row r="70" spans="1:24" x14ac:dyDescent="0.3">
      <c r="A70" s="9">
        <v>30</v>
      </c>
      <c r="B70" s="9">
        <v>0.93966736106488868</v>
      </c>
      <c r="C70" s="9">
        <v>0.96936441087182934</v>
      </c>
      <c r="D70" s="9">
        <v>0.91088009787415281</v>
      </c>
      <c r="E70" s="9">
        <v>0.47222222222222221</v>
      </c>
      <c r="F70" s="9">
        <v>0.1</v>
      </c>
      <c r="G70" s="9">
        <v>1.3113158692398801</v>
      </c>
      <c r="N70" s="9">
        <f t="shared" si="9"/>
        <v>1.6950068290124869</v>
      </c>
      <c r="O70" s="9">
        <f t="shared" si="10"/>
        <v>6.8562688777221084</v>
      </c>
      <c r="P70" s="9">
        <f t="shared" si="11"/>
        <v>-1.5117821427061857</v>
      </c>
      <c r="Q70" s="9">
        <f t="shared" si="14"/>
        <v>0.84488147236412303</v>
      </c>
      <c r="R70" s="9">
        <f t="shared" si="14"/>
        <v>0.99894827242649487</v>
      </c>
      <c r="S70" s="9">
        <f t="shared" si="14"/>
        <v>0.18067482986153013</v>
      </c>
      <c r="T70" s="9">
        <f t="shared" si="12"/>
        <v>1.3112409211114857</v>
      </c>
      <c r="U70" s="14">
        <f t="shared" si="15"/>
        <v>5.617221949818943E-9</v>
      </c>
      <c r="W70" s="14">
        <f t="shared" si="13"/>
        <v>2.2067603527372741E-2</v>
      </c>
      <c r="X70" s="16">
        <f t="shared" si="16"/>
        <v>5.7154900777502526E-3</v>
      </c>
    </row>
    <row r="71" spans="1:24" x14ac:dyDescent="0.3">
      <c r="A71" s="9">
        <v>31</v>
      </c>
      <c r="B71" s="9">
        <v>0.93311773293603162</v>
      </c>
      <c r="C71" s="9">
        <v>0.96598019282800607</v>
      </c>
      <c r="D71" s="9">
        <v>0.90137324759278015</v>
      </c>
      <c r="E71" s="9">
        <v>0.3203125</v>
      </c>
      <c r="F71" s="9">
        <v>0.1</v>
      </c>
      <c r="G71" s="9">
        <v>1.0713948756287099</v>
      </c>
      <c r="N71" s="9">
        <f t="shared" si="9"/>
        <v>1.1961603722577234</v>
      </c>
      <c r="O71" s="9">
        <f t="shared" si="10"/>
        <v>6.823187928517342</v>
      </c>
      <c r="P71" s="9">
        <f t="shared" si="11"/>
        <v>-2.0182213392896804</v>
      </c>
      <c r="Q71" s="9">
        <f t="shared" si="14"/>
        <v>0.76784103093657985</v>
      </c>
      <c r="R71" s="9">
        <f t="shared" si="14"/>
        <v>0.99891293685661808</v>
      </c>
      <c r="S71" s="9">
        <f t="shared" si="14"/>
        <v>0.11730303347417255</v>
      </c>
      <c r="T71" s="9">
        <f t="shared" si="12"/>
        <v>1.0762657097005839</v>
      </c>
      <c r="U71" s="14">
        <f t="shared" si="15"/>
        <v>2.3725024555728084E-5</v>
      </c>
      <c r="W71" s="14">
        <f t="shared" si="13"/>
        <v>8.3483503032699084E-3</v>
      </c>
      <c r="X71" s="16">
        <f t="shared" si="16"/>
        <v>0.45462547774607065</v>
      </c>
    </row>
    <row r="72" spans="1:24" x14ac:dyDescent="0.3">
      <c r="A72" s="9">
        <v>32</v>
      </c>
      <c r="B72" s="9">
        <v>0.67803485561868637</v>
      </c>
      <c r="C72" s="9">
        <v>0.82342871920931104</v>
      </c>
      <c r="D72" s="9">
        <v>0.55831337274136517</v>
      </c>
      <c r="E72" s="9">
        <v>6.0816326530612308E-2</v>
      </c>
      <c r="F72" s="9">
        <v>0.1</v>
      </c>
      <c r="G72" s="9">
        <v>0.63199912807087799</v>
      </c>
      <c r="N72" s="9">
        <f t="shared" si="9"/>
        <v>0.34816205756063057</v>
      </c>
      <c r="O72" s="9">
        <f t="shared" si="10"/>
        <v>4.6995949068306233</v>
      </c>
      <c r="P72" s="9">
        <f t="shared" si="11"/>
        <v>-2.9238020976296459</v>
      </c>
      <c r="Q72" s="9">
        <f t="shared" si="14"/>
        <v>0.5861718118237812</v>
      </c>
      <c r="R72" s="9">
        <f t="shared" si="14"/>
        <v>0.9909830823112622</v>
      </c>
      <c r="S72" s="9">
        <f t="shared" si="14"/>
        <v>5.0989404964058113E-2</v>
      </c>
      <c r="T72" s="9">
        <f t="shared" si="12"/>
        <v>0.63494262019294756</v>
      </c>
      <c r="U72" s="14">
        <f t="shared" si="15"/>
        <v>8.6641458726856132E-6</v>
      </c>
      <c r="W72" s="14">
        <f t="shared" si="13"/>
        <v>0.28171154338148918</v>
      </c>
      <c r="X72" s="16">
        <f t="shared" si="16"/>
        <v>0.46574306693338657</v>
      </c>
    </row>
    <row r="73" spans="1:24" x14ac:dyDescent="0.3">
      <c r="A73" s="9">
        <v>33</v>
      </c>
      <c r="B73" s="9">
        <v>0.89158042542455807</v>
      </c>
      <c r="C73" s="9">
        <v>0.94423536548074616</v>
      </c>
      <c r="D73" s="9">
        <v>0.8418617688562372</v>
      </c>
      <c r="E73" s="9">
        <v>0.2432653061224489</v>
      </c>
      <c r="F73" s="9">
        <v>0.1</v>
      </c>
      <c r="G73" s="9">
        <v>0.95173540639099097</v>
      </c>
      <c r="N73" s="9">
        <f t="shared" si="9"/>
        <v>0.94507032516504019</v>
      </c>
      <c r="O73" s="9">
        <f t="shared" si="10"/>
        <v>6.4578529544252454</v>
      </c>
      <c r="P73" s="9">
        <f t="shared" si="11"/>
        <v>-2.2739610820023444</v>
      </c>
      <c r="Q73" s="9">
        <f t="shared" si="14"/>
        <v>0.72012270077537532</v>
      </c>
      <c r="R73" s="9">
        <f t="shared" si="14"/>
        <v>0.99843429626503144</v>
      </c>
      <c r="S73" s="9">
        <f t="shared" si="14"/>
        <v>9.3302575512787214E-2</v>
      </c>
      <c r="T73" s="9">
        <f t="shared" si="12"/>
        <v>0.94948801821307027</v>
      </c>
      <c r="U73" s="14">
        <f t="shared" si="15"/>
        <v>5.0507536222577018E-6</v>
      </c>
      <c r="W73" s="14">
        <f t="shared" si="13"/>
        <v>4.4533144496491948E-2</v>
      </c>
      <c r="X73" s="16">
        <f t="shared" si="16"/>
        <v>0.23613581703793682</v>
      </c>
    </row>
    <row r="74" spans="1:24" x14ac:dyDescent="0.3">
      <c r="A74" s="9">
        <v>34</v>
      </c>
      <c r="B74" s="9">
        <v>0.96611717808573394</v>
      </c>
      <c r="C74" s="9">
        <v>0.98291259941346465</v>
      </c>
      <c r="D74" s="9">
        <v>0.94960874685025021</v>
      </c>
      <c r="E74" s="9">
        <v>0.54734693877551011</v>
      </c>
      <c r="F74" s="9">
        <v>0.1</v>
      </c>
      <c r="G74" s="9">
        <v>1.4178602892840599</v>
      </c>
      <c r="N74" s="9">
        <f t="shared" si="9"/>
        <v>1.9402682788716568</v>
      </c>
      <c r="O74" s="9">
        <f t="shared" si="10"/>
        <v>7.0897987520860717</v>
      </c>
      <c r="P74" s="9">
        <f t="shared" si="11"/>
        <v>-1.2631628523054523</v>
      </c>
      <c r="Q74" s="9">
        <f t="shared" si="14"/>
        <v>0.87438161376840151</v>
      </c>
      <c r="R74" s="9">
        <f t="shared" si="14"/>
        <v>0.99916712915010919</v>
      </c>
      <c r="S74" s="9">
        <f t="shared" si="14"/>
        <v>0.2204299053410681</v>
      </c>
      <c r="T74" s="9">
        <f t="shared" si="12"/>
        <v>1.4189613062068356</v>
      </c>
      <c r="U74" s="14">
        <f t="shared" si="15"/>
        <v>1.2122382642383482E-6</v>
      </c>
      <c r="W74" s="14">
        <f t="shared" si="13"/>
        <v>6.5074023514546719E-2</v>
      </c>
      <c r="X74" s="16">
        <f t="shared" si="16"/>
        <v>7.7653414169007839E-2</v>
      </c>
    </row>
    <row r="75" spans="1:24" x14ac:dyDescent="0.3">
      <c r="A75" s="9">
        <v>35</v>
      </c>
      <c r="B75" s="9">
        <v>0.98325960470347551</v>
      </c>
      <c r="C75" s="9">
        <v>0.99159447593432848</v>
      </c>
      <c r="D75" s="9">
        <v>0.97499479243333798</v>
      </c>
      <c r="E75" s="9">
        <v>0.62781249999999988</v>
      </c>
      <c r="F75" s="9">
        <v>0.1</v>
      </c>
      <c r="G75" s="9">
        <v>1.53061665078812</v>
      </c>
      <c r="N75" s="9">
        <f t="shared" si="9"/>
        <v>2.2035590996851409</v>
      </c>
      <c r="O75" s="9">
        <f t="shared" si="10"/>
        <v>7.2372879502219964</v>
      </c>
      <c r="P75" s="9">
        <f t="shared" si="11"/>
        <v>-0.99636358456665342</v>
      </c>
      <c r="Q75" s="9">
        <f t="shared" si="14"/>
        <v>0.90056866422338477</v>
      </c>
      <c r="R75" s="9">
        <f t="shared" si="14"/>
        <v>0.99928125717712257</v>
      </c>
      <c r="S75" s="9">
        <f t="shared" si="14"/>
        <v>0.26965698448389697</v>
      </c>
      <c r="T75" s="9">
        <f t="shared" si="12"/>
        <v>1.5310694036364565</v>
      </c>
      <c r="U75" s="14">
        <f t="shared" si="15"/>
        <v>2.0498514167677516E-7</v>
      </c>
      <c r="W75" s="14">
        <f t="shared" si="13"/>
        <v>0.13531543816344949</v>
      </c>
      <c r="X75" s="16">
        <f t="shared" si="16"/>
        <v>2.9579767612179921E-2</v>
      </c>
    </row>
    <row r="76" spans="1:24" x14ac:dyDescent="0.3">
      <c r="A76" s="9">
        <v>36</v>
      </c>
      <c r="B76" s="9">
        <v>0.63822315837842447</v>
      </c>
      <c r="C76" s="9">
        <v>0.79888870212215701</v>
      </c>
      <c r="D76" s="9">
        <v>0.50986927066124366</v>
      </c>
      <c r="E76" s="9">
        <v>4.4691358024691374E-2</v>
      </c>
      <c r="F76" s="9">
        <v>0.1</v>
      </c>
      <c r="G76" s="9">
        <v>0.613815967746424</v>
      </c>
      <c r="N76" s="9">
        <f t="shared" si="9"/>
        <v>0.29388264276847864</v>
      </c>
      <c r="O76" s="9">
        <f t="shared" si="10"/>
        <v>4.4016706352501709</v>
      </c>
      <c r="P76" s="9">
        <f t="shared" si="11"/>
        <v>-2.9985766273440868</v>
      </c>
      <c r="Q76" s="9">
        <f t="shared" si="14"/>
        <v>0.57294640133825014</v>
      </c>
      <c r="R76" s="9">
        <f t="shared" si="14"/>
        <v>0.98789156515220189</v>
      </c>
      <c r="S76" s="9">
        <f t="shared" si="14"/>
        <v>4.7490217838498786E-2</v>
      </c>
      <c r="T76" s="9">
        <f t="shared" si="12"/>
        <v>0.60930058830570644</v>
      </c>
      <c r="U76" s="14">
        <f t="shared" si="15"/>
        <v>2.0388651493654823E-5</v>
      </c>
      <c r="W76" s="14">
        <f t="shared" si="13"/>
        <v>0.30134414287243988</v>
      </c>
      <c r="X76" s="16">
        <f t="shared" si="16"/>
        <v>0.73562430402314438</v>
      </c>
    </row>
    <row r="77" spans="1:24" x14ac:dyDescent="0.3">
      <c r="A77" s="9">
        <v>37</v>
      </c>
      <c r="B77" s="9">
        <v>0.86512518623928769</v>
      </c>
      <c r="C77" s="9">
        <v>0.93012105999127204</v>
      </c>
      <c r="D77" s="9">
        <v>0.80467115525003297</v>
      </c>
      <c r="E77" s="9">
        <v>0.17876543209876539</v>
      </c>
      <c r="F77" s="9">
        <v>0.1</v>
      </c>
      <c r="G77" s="9">
        <v>0.83617363355135899</v>
      </c>
      <c r="N77" s="9">
        <f t="shared" si="9"/>
        <v>0.73420426532903393</v>
      </c>
      <c r="O77" s="9">
        <f t="shared" si="10"/>
        <v>6.2328521149648912</v>
      </c>
      <c r="P77" s="9">
        <f t="shared" si="11"/>
        <v>-2.4894907567854849</v>
      </c>
      <c r="Q77" s="9">
        <f t="shared" si="14"/>
        <v>0.67572719076822707</v>
      </c>
      <c r="R77" s="9">
        <f t="shared" si="14"/>
        <v>0.99804000632334744</v>
      </c>
      <c r="S77" s="9">
        <f t="shared" si="14"/>
        <v>7.6598208829150596E-2</v>
      </c>
      <c r="T77" s="9">
        <f t="shared" si="12"/>
        <v>0.83802840874734963</v>
      </c>
      <c r="U77" s="14">
        <f t="shared" si="15"/>
        <v>3.4401910276621293E-6</v>
      </c>
      <c r="W77" s="14">
        <f t="shared" si="13"/>
        <v>0.1066613868953752</v>
      </c>
      <c r="X77" s="16">
        <f t="shared" si="16"/>
        <v>0.22181699130037449</v>
      </c>
    </row>
    <row r="78" spans="1:24" x14ac:dyDescent="0.3">
      <c r="A78" s="9">
        <v>38</v>
      </c>
      <c r="B78" s="9">
        <v>0.9598686322313662</v>
      </c>
      <c r="C78" s="9">
        <v>0.97972885648600039</v>
      </c>
      <c r="D78" s="9">
        <v>0.94041099743281709</v>
      </c>
      <c r="E78" s="9">
        <v>0.40222222222222215</v>
      </c>
      <c r="F78" s="9">
        <v>0.1</v>
      </c>
      <c r="G78" s="9">
        <v>1.2015692430289999</v>
      </c>
      <c r="N78" s="9">
        <f t="shared" si="9"/>
        <v>1.4637440682496761</v>
      </c>
      <c r="O78" s="9">
        <f t="shared" si="10"/>
        <v>7.0574179554921681</v>
      </c>
      <c r="P78" s="9">
        <f t="shared" si="11"/>
        <v>-1.7468148824240419</v>
      </c>
      <c r="Q78" s="9">
        <f t="shared" si="14"/>
        <v>0.81210465243979069</v>
      </c>
      <c r="R78" s="9">
        <f t="shared" si="14"/>
        <v>0.9991397423180377</v>
      </c>
      <c r="S78" s="9">
        <f t="shared" si="14"/>
        <v>0.14844938495965146</v>
      </c>
      <c r="T78" s="9">
        <f t="shared" si="12"/>
        <v>1.2046986879172665</v>
      </c>
      <c r="U78" s="14">
        <f t="shared" si="15"/>
        <v>9.7934253086980035E-6</v>
      </c>
      <c r="W78" s="14">
        <f t="shared" si="13"/>
        <v>1.5058326949982962E-3</v>
      </c>
      <c r="X78" s="16">
        <f t="shared" si="16"/>
        <v>0.26044648749311228</v>
      </c>
    </row>
    <row r="79" spans="1:24" x14ac:dyDescent="0.3">
      <c r="A79" s="9">
        <v>39</v>
      </c>
      <c r="B79" s="9">
        <v>0.99334100566047745</v>
      </c>
      <c r="C79" s="9">
        <v>0.99666494152271545</v>
      </c>
      <c r="D79" s="9">
        <v>0.99002815531871613</v>
      </c>
      <c r="E79" s="9">
        <v>0.71506172839506177</v>
      </c>
      <c r="F79" s="9">
        <v>0.1</v>
      </c>
      <c r="G79" s="9">
        <v>1.6517190055900399</v>
      </c>
      <c r="N79" s="9">
        <f t="shared" si="9"/>
        <v>2.4895806314937752</v>
      </c>
      <c r="O79" s="9">
        <f t="shared" si="10"/>
        <v>7.3174680580273979</v>
      </c>
      <c r="P79" s="9">
        <f t="shared" si="11"/>
        <v>-0.70636298653822394</v>
      </c>
      <c r="Q79" s="9">
        <f t="shared" si="14"/>
        <v>0.92340814785004632</v>
      </c>
      <c r="R79" s="9">
        <f t="shared" si="14"/>
        <v>0.99933659950060749</v>
      </c>
      <c r="S79" s="9">
        <f t="shared" si="14"/>
        <v>0.33040298469738261</v>
      </c>
      <c r="T79" s="9">
        <f t="shared" si="12"/>
        <v>1.6498013473931556</v>
      </c>
      <c r="U79" s="14">
        <f t="shared" si="15"/>
        <v>3.6774129600774503E-6</v>
      </c>
      <c r="W79" s="14">
        <f t="shared" si="13"/>
        <v>0.23907681867447511</v>
      </c>
      <c r="X79" s="16">
        <f t="shared" si="16"/>
        <v>0.11610075263372263</v>
      </c>
    </row>
    <row r="80" spans="1:24" x14ac:dyDescent="0.3">
      <c r="A80" s="9">
        <v>1</v>
      </c>
      <c r="B80" s="9">
        <v>1</v>
      </c>
      <c r="C80" s="9">
        <v>1</v>
      </c>
      <c r="D80" s="9">
        <v>1</v>
      </c>
      <c r="E80" s="9">
        <v>1</v>
      </c>
      <c r="F80" s="9">
        <v>0.2</v>
      </c>
      <c r="G80" s="9">
        <v>2.0157653564700801</v>
      </c>
      <c r="N80" s="9">
        <f t="shared" si="9"/>
        <v>3.4346732491862899</v>
      </c>
      <c r="O80" s="9">
        <f t="shared" si="10"/>
        <v>7.2641673120998203</v>
      </c>
      <c r="P80" s="9">
        <f t="shared" si="11"/>
        <v>0.24697376820924255</v>
      </c>
      <c r="Q80" s="9">
        <f t="shared" si="14"/>
        <v>0.96877076225377068</v>
      </c>
      <c r="R80" s="9">
        <f t="shared" si="14"/>
        <v>0.9993003058529204</v>
      </c>
      <c r="S80" s="9">
        <f t="shared" si="14"/>
        <v>0.56143150248911788</v>
      </c>
      <c r="T80" s="9">
        <f t="shared" si="12"/>
        <v>2.0152263224580746</v>
      </c>
      <c r="U80" s="14">
        <f t="shared" si="15"/>
        <v>2.9055766609874713E-7</v>
      </c>
      <c r="W80" s="14">
        <f t="shared" si="13"/>
        <v>0.72761100218629804</v>
      </c>
      <c r="X80" s="16">
        <f t="shared" si="16"/>
        <v>2.6740910606254002E-2</v>
      </c>
    </row>
    <row r="81" spans="1:24" x14ac:dyDescent="0.3">
      <c r="A81" s="9">
        <v>2</v>
      </c>
      <c r="B81" s="9">
        <v>0.99805795702633637</v>
      </c>
      <c r="C81" s="9">
        <v>0.99902850661346809</v>
      </c>
      <c r="D81" s="9">
        <v>0.9970883503217095</v>
      </c>
      <c r="E81" s="9">
        <v>0.90500000000000003</v>
      </c>
      <c r="F81" s="9">
        <v>0.2</v>
      </c>
      <c r="G81" s="9">
        <v>1.89822612088694</v>
      </c>
      <c r="N81" s="9">
        <f t="shared" si="9"/>
        <v>3.1226158979612135</v>
      </c>
      <c r="O81" s="9">
        <f t="shared" si="10"/>
        <v>7.2628063882240355</v>
      </c>
      <c r="P81" s="9">
        <f t="shared" si="11"/>
        <v>-6.9755276405278011E-2</v>
      </c>
      <c r="Q81" s="9">
        <f t="shared" si="14"/>
        <v>0.95781604878726989</v>
      </c>
      <c r="R81" s="9">
        <f t="shared" si="14"/>
        <v>0.99929935364183009</v>
      </c>
      <c r="S81" s="9">
        <f t="shared" si="14"/>
        <v>0.48256824860813957</v>
      </c>
      <c r="T81" s="9">
        <f t="shared" si="12"/>
        <v>1.8999672900513616</v>
      </c>
      <c r="U81" s="14">
        <f t="shared" si="15"/>
        <v>3.0316700591325234E-6</v>
      </c>
      <c r="W81" s="14">
        <f t="shared" si="13"/>
        <v>0.54090426229162258</v>
      </c>
      <c r="X81" s="16">
        <f t="shared" si="16"/>
        <v>9.1726119731616526E-2</v>
      </c>
    </row>
    <row r="82" spans="1:24" x14ac:dyDescent="0.3">
      <c r="A82" s="9">
        <v>3</v>
      </c>
      <c r="B82" s="9">
        <v>0.99152490614171707</v>
      </c>
      <c r="C82" s="9">
        <v>0.99575343641973801</v>
      </c>
      <c r="D82" s="9">
        <v>0.98731433258637347</v>
      </c>
      <c r="E82" s="9">
        <v>0.82000000000000006</v>
      </c>
      <c r="F82" s="9">
        <v>0.2</v>
      </c>
      <c r="G82" s="9">
        <v>1.79093590025474</v>
      </c>
      <c r="N82" s="9">
        <f t="shared" si="9"/>
        <v>2.8437478697137575</v>
      </c>
      <c r="O82" s="9">
        <f t="shared" si="10"/>
        <v>7.2158008859431702</v>
      </c>
      <c r="P82" s="9">
        <f t="shared" si="11"/>
        <v>-0.35260330174944166</v>
      </c>
      <c r="Q82" s="9">
        <f t="shared" si="14"/>
        <v>0.94499460097478716</v>
      </c>
      <c r="R82" s="9">
        <f t="shared" si="14"/>
        <v>0.99926565785316068</v>
      </c>
      <c r="S82" s="9">
        <f t="shared" si="14"/>
        <v>0.41275126986578242</v>
      </c>
      <c r="T82" s="9">
        <f t="shared" si="12"/>
        <v>1.7914748638154705</v>
      </c>
      <c r="U82" s="14">
        <f t="shared" si="15"/>
        <v>2.9048171979526217E-7</v>
      </c>
      <c r="W82" s="14">
        <f t="shared" si="13"/>
        <v>0.39459970653916693</v>
      </c>
      <c r="X82" s="16">
        <f t="shared" si="16"/>
        <v>3.0093961523346764E-2</v>
      </c>
    </row>
    <row r="83" spans="1:24" x14ac:dyDescent="0.3">
      <c r="A83" s="9">
        <v>4</v>
      </c>
      <c r="B83" s="9">
        <v>0.97911342554320058</v>
      </c>
      <c r="C83" s="9">
        <v>0.98950160461881032</v>
      </c>
      <c r="D83" s="9">
        <v>0.96883430567881712</v>
      </c>
      <c r="E83" s="9">
        <v>0.74500000000000011</v>
      </c>
      <c r="F83" s="9">
        <v>0.2</v>
      </c>
      <c r="G83" s="9">
        <v>1.6943401584958899</v>
      </c>
      <c r="N83" s="9">
        <f t="shared" si="9"/>
        <v>2.5981350638199157</v>
      </c>
      <c r="O83" s="9">
        <f t="shared" si="10"/>
        <v>7.1113918138220811</v>
      </c>
      <c r="P83" s="9">
        <f t="shared" si="11"/>
        <v>-0.60151300090690185</v>
      </c>
      <c r="Q83" s="9">
        <f t="shared" si="14"/>
        <v>0.93074145905041394</v>
      </c>
      <c r="R83" s="9">
        <f t="shared" si="14"/>
        <v>0.99918490610281419</v>
      </c>
      <c r="S83" s="9">
        <f t="shared" si="14"/>
        <v>0.35399761934416091</v>
      </c>
      <c r="T83" s="9">
        <f t="shared" si="12"/>
        <v>1.6930483006681234</v>
      </c>
      <c r="U83" s="14">
        <f t="shared" si="15"/>
        <v>1.6688966471616558E-6</v>
      </c>
      <c r="W83" s="14">
        <f t="shared" si="13"/>
        <v>0.28257301787706457</v>
      </c>
      <c r="X83" s="16">
        <f t="shared" si="16"/>
        <v>7.6245482425048888E-2</v>
      </c>
    </row>
    <row r="84" spans="1:24" x14ac:dyDescent="0.3">
      <c r="A84" s="9">
        <v>5</v>
      </c>
      <c r="B84" s="9">
        <v>0.95913394700955001</v>
      </c>
      <c r="C84" s="9">
        <v>0.97935384157593941</v>
      </c>
      <c r="D84" s="9">
        <v>0.93933151558969652</v>
      </c>
      <c r="E84" s="9">
        <v>0.67999999999999994</v>
      </c>
      <c r="F84" s="9">
        <v>0.2</v>
      </c>
      <c r="G84" s="9">
        <v>1.6024129930517299</v>
      </c>
      <c r="N84" s="9">
        <f t="shared" si="9"/>
        <v>2.3858305755056968</v>
      </c>
      <c r="O84" s="9">
        <f t="shared" si="10"/>
        <v>6.9348324059740492</v>
      </c>
      <c r="P84" s="9">
        <f t="shared" si="11"/>
        <v>-0.81653790568483231</v>
      </c>
      <c r="Q84" s="9">
        <f t="shared" si="14"/>
        <v>0.91574041284255736</v>
      </c>
      <c r="R84" s="9">
        <f t="shared" si="14"/>
        <v>0.99902766019289413</v>
      </c>
      <c r="S84" s="9">
        <f t="shared" si="14"/>
        <v>0.30649906021790352</v>
      </c>
      <c r="T84" s="9">
        <f t="shared" si="12"/>
        <v>1.6063971890920563</v>
      </c>
      <c r="U84" s="14">
        <f t="shared" si="15"/>
        <v>1.5873818087752599E-5</v>
      </c>
      <c r="W84" s="14">
        <f t="shared" si="13"/>
        <v>0.1932910763061601</v>
      </c>
      <c r="X84" s="16">
        <f t="shared" si="16"/>
        <v>0.24863727750601086</v>
      </c>
    </row>
    <row r="85" spans="1:24" x14ac:dyDescent="0.3">
      <c r="A85" s="9">
        <v>6</v>
      </c>
      <c r="B85" s="9">
        <v>0.92929286340991557</v>
      </c>
      <c r="C85" s="9">
        <v>0.96399837313655024</v>
      </c>
      <c r="D85" s="9">
        <v>0.89583680849456471</v>
      </c>
      <c r="E85" s="9">
        <v>0.625</v>
      </c>
      <c r="F85" s="9">
        <v>0.2</v>
      </c>
      <c r="G85" s="9">
        <v>1.53158158470892</v>
      </c>
      <c r="N85" s="9">
        <f t="shared" si="9"/>
        <v>2.2068472447946328</v>
      </c>
      <c r="O85" s="9">
        <f t="shared" si="10"/>
        <v>6.6672983735214437</v>
      </c>
      <c r="P85" s="9">
        <f t="shared" si="11"/>
        <v>-0.9980176008688515</v>
      </c>
      <c r="Q85" s="9">
        <f t="shared" si="14"/>
        <v>0.90086271277504903</v>
      </c>
      <c r="R85" s="9">
        <f t="shared" si="14"/>
        <v>0.99872978537351065</v>
      </c>
      <c r="S85" s="9">
        <f t="shared" si="14"/>
        <v>0.26933136318089695</v>
      </c>
      <c r="T85" s="9">
        <f t="shared" si="12"/>
        <v>1.5323829140932197</v>
      </c>
      <c r="U85" s="14">
        <f t="shared" si="15"/>
        <v>6.4212878214208011E-7</v>
      </c>
      <c r="W85" s="14">
        <f t="shared" si="13"/>
        <v>0.13602627590923561</v>
      </c>
      <c r="X85" s="16">
        <f t="shared" si="16"/>
        <v>5.2320385169162181E-2</v>
      </c>
    </row>
    <row r="86" spans="1:24" x14ac:dyDescent="0.3">
      <c r="A86" s="9">
        <v>7</v>
      </c>
      <c r="B86" s="9">
        <v>0.88629579591014296</v>
      </c>
      <c r="C86" s="9">
        <v>0.94143284195429633</v>
      </c>
      <c r="D86" s="9">
        <v>0.83438796995583142</v>
      </c>
      <c r="E86" s="9">
        <v>0.58000000000000007</v>
      </c>
      <c r="F86" s="9">
        <v>0.2</v>
      </c>
      <c r="G86" s="9">
        <v>1.46877059277351</v>
      </c>
      <c r="N86" s="9">
        <f t="shared" si="9"/>
        <v>2.0610957028495083</v>
      </c>
      <c r="O86" s="9">
        <f t="shared" si="10"/>
        <v>6.2838681624265948</v>
      </c>
      <c r="P86" s="9">
        <f t="shared" si="11"/>
        <v>-1.1470302289712011</v>
      </c>
      <c r="Q86" s="9">
        <f t="shared" si="14"/>
        <v>0.88706398561383493</v>
      </c>
      <c r="R86" s="9">
        <f t="shared" si="14"/>
        <v>0.99813730812200085</v>
      </c>
      <c r="S86" s="9">
        <f t="shared" si="14"/>
        <v>0.24103194183356777</v>
      </c>
      <c r="T86" s="9">
        <f t="shared" si="12"/>
        <v>1.4715883772751357</v>
      </c>
      <c r="U86" s="14">
        <f t="shared" si="15"/>
        <v>7.9399094976021676E-6</v>
      </c>
      <c r="W86" s="14">
        <f t="shared" si="13"/>
        <v>9.3639922910351989E-2</v>
      </c>
      <c r="X86" s="16">
        <f t="shared" si="16"/>
        <v>0.19184646775265632</v>
      </c>
    </row>
    <row r="87" spans="1:24" x14ac:dyDescent="0.3">
      <c r="A87" s="9">
        <v>8</v>
      </c>
      <c r="B87" s="9">
        <v>0.82493648944805331</v>
      </c>
      <c r="C87" s="9">
        <v>0.90826014414816936</v>
      </c>
      <c r="D87" s="9">
        <v>0.74925693481917366</v>
      </c>
      <c r="E87" s="9">
        <v>0.54499999999999993</v>
      </c>
      <c r="F87" s="9">
        <v>0.2</v>
      </c>
      <c r="G87" s="9">
        <v>1.4258139979972799</v>
      </c>
      <c r="N87" s="9">
        <f t="shared" si="9"/>
        <v>1.9482269756237673</v>
      </c>
      <c r="O87" s="9">
        <f t="shared" si="10"/>
        <v>5.7490733661452396</v>
      </c>
      <c r="P87" s="9">
        <f t="shared" si="11"/>
        <v>-1.2667098489224573</v>
      </c>
      <c r="Q87" s="9">
        <f t="shared" si="14"/>
        <v>0.87525318282491349</v>
      </c>
      <c r="R87" s="9">
        <f t="shared" si="14"/>
        <v>0.99682438522001471</v>
      </c>
      <c r="S87" s="9">
        <f t="shared" si="14"/>
        <v>0.21982099190615731</v>
      </c>
      <c r="T87" s="9">
        <f t="shared" si="12"/>
        <v>1.4246604635238156</v>
      </c>
      <c r="U87" s="14">
        <f t="shared" si="15"/>
        <v>1.3306417814706404E-6</v>
      </c>
      <c r="W87" s="14">
        <f t="shared" si="13"/>
        <v>6.9195205245645652E-2</v>
      </c>
      <c r="X87" s="16">
        <f t="shared" si="16"/>
        <v>8.0903573333170178E-2</v>
      </c>
    </row>
    <row r="88" spans="1:24" x14ac:dyDescent="0.3">
      <c r="A88" s="9">
        <v>9</v>
      </c>
      <c r="B88" s="9">
        <v>0.73549094564436945</v>
      </c>
      <c r="C88" s="9">
        <v>0.85760768749141325</v>
      </c>
      <c r="D88" s="9">
        <v>0.63076268906494071</v>
      </c>
      <c r="E88" s="9">
        <v>0.52</v>
      </c>
      <c r="F88" s="9">
        <v>0.2</v>
      </c>
      <c r="G88" s="9">
        <v>1.3921576518901699</v>
      </c>
      <c r="N88" s="9">
        <f t="shared" si="9"/>
        <v>1.8671321156448644</v>
      </c>
      <c r="O88" s="9">
        <f t="shared" si="10"/>
        <v>5.0047712171799912</v>
      </c>
      <c r="P88" s="9">
        <f t="shared" si="11"/>
        <v>-1.366988420259573</v>
      </c>
      <c r="Q88" s="9">
        <f t="shared" si="14"/>
        <v>0.866126090467353</v>
      </c>
      <c r="R88" s="9">
        <f t="shared" si="14"/>
        <v>0.99333879385633872</v>
      </c>
      <c r="S88" s="9">
        <f t="shared" si="14"/>
        <v>0.20310684822815839</v>
      </c>
      <c r="T88" s="9">
        <f t="shared" si="12"/>
        <v>1.3928623919784087</v>
      </c>
      <c r="U88" s="14">
        <f t="shared" si="15"/>
        <v>4.9665859197073456E-7</v>
      </c>
      <c r="W88" s="14">
        <f t="shared" si="13"/>
        <v>5.2621363635342408E-2</v>
      </c>
      <c r="X88" s="16">
        <f t="shared" si="16"/>
        <v>5.0622146657161027E-2</v>
      </c>
    </row>
    <row r="89" spans="1:24" x14ac:dyDescent="0.3">
      <c r="A89" s="9">
        <v>10</v>
      </c>
      <c r="B89" s="9">
        <v>0.592782777626775</v>
      </c>
      <c r="C89" s="9">
        <v>0.76992387781310878</v>
      </c>
      <c r="D89" s="9">
        <v>0.45639761485123242</v>
      </c>
      <c r="E89" s="9">
        <v>0.50499999999999989</v>
      </c>
      <c r="F89" s="9">
        <v>0.2</v>
      </c>
      <c r="G89" s="9">
        <v>1.3801444946619801</v>
      </c>
      <c r="N89" s="9">
        <f t="shared" si="9"/>
        <v>1.8134772382200619</v>
      </c>
      <c r="O89" s="9">
        <f t="shared" si="10"/>
        <v>3.9240579013723931</v>
      </c>
      <c r="P89" s="9">
        <f t="shared" si="11"/>
        <v>-1.4907812138968906</v>
      </c>
      <c r="Q89" s="9">
        <f t="shared" si="14"/>
        <v>0.85978160503758205</v>
      </c>
      <c r="R89" s="9">
        <f t="shared" si="14"/>
        <v>0.98062217556564868</v>
      </c>
      <c r="S89" s="9">
        <f t="shared" si="14"/>
        <v>0.183804500442459</v>
      </c>
      <c r="T89" s="9">
        <f t="shared" si="12"/>
        <v>1.3819391320212129</v>
      </c>
      <c r="U89" s="14">
        <f t="shared" si="15"/>
        <v>3.2207232511540707E-6</v>
      </c>
      <c r="W89" s="14">
        <f t="shared" si="13"/>
        <v>4.7254199960686714E-2</v>
      </c>
      <c r="X89" s="16">
        <f t="shared" si="16"/>
        <v>0.13003257022536138</v>
      </c>
    </row>
    <row r="90" spans="1:24" x14ac:dyDescent="0.3">
      <c r="A90" s="9">
        <v>11</v>
      </c>
      <c r="B90" s="9">
        <v>0.99798365800029631</v>
      </c>
      <c r="C90" s="9">
        <v>0.99899132028276216</v>
      </c>
      <c r="D90" s="9">
        <v>0.99697701212633671</v>
      </c>
      <c r="E90" s="9">
        <v>0.81</v>
      </c>
      <c r="F90" s="9">
        <v>0.2</v>
      </c>
      <c r="G90" s="9">
        <v>1.7782380752789499</v>
      </c>
      <c r="N90" s="9">
        <f t="shared" si="9"/>
        <v>2.8104230888959303</v>
      </c>
      <c r="O90" s="9">
        <f t="shared" si="10"/>
        <v>7.2793326824994962</v>
      </c>
      <c r="P90" s="9">
        <f t="shared" si="11"/>
        <v>-0.38670360061050424</v>
      </c>
      <c r="Q90" s="9">
        <f t="shared" si="14"/>
        <v>0.94323647622258555</v>
      </c>
      <c r="R90" s="9">
        <f t="shared" si="14"/>
        <v>0.99931082966054163</v>
      </c>
      <c r="S90" s="9">
        <f t="shared" si="14"/>
        <v>0.40451109296746823</v>
      </c>
      <c r="T90" s="9">
        <f t="shared" si="12"/>
        <v>1.7780625491167412</v>
      </c>
      <c r="U90" s="14">
        <f t="shared" si="15"/>
        <v>3.0809433619724645E-8</v>
      </c>
      <c r="W90" s="14">
        <f t="shared" si="13"/>
        <v>0.37880811225375183</v>
      </c>
      <c r="X90" s="16">
        <f t="shared" si="16"/>
        <v>9.8707909052725279E-3</v>
      </c>
    </row>
    <row r="91" spans="1:24" x14ac:dyDescent="0.3">
      <c r="A91" s="9">
        <v>12</v>
      </c>
      <c r="B91" s="9">
        <v>0.99082969587065506</v>
      </c>
      <c r="C91" s="9">
        <v>0.99540428764932243</v>
      </c>
      <c r="D91" s="9">
        <v>0.98627612759992478</v>
      </c>
      <c r="E91" s="9">
        <v>0.64000000000000012</v>
      </c>
      <c r="F91" s="9">
        <v>0.2</v>
      </c>
      <c r="G91" s="9">
        <v>1.55183993368326</v>
      </c>
      <c r="N91" s="9">
        <f t="shared" si="9"/>
        <v>2.2522635948553043</v>
      </c>
      <c r="O91" s="9">
        <f t="shared" si="10"/>
        <v>7.2418304970729173</v>
      </c>
      <c r="P91" s="9">
        <f t="shared" si="11"/>
        <v>-0.95307610270803966</v>
      </c>
      <c r="Q91" s="9">
        <f t="shared" si="14"/>
        <v>0.90484560937568281</v>
      </c>
      <c r="R91" s="9">
        <f t="shared" si="14"/>
        <v>0.99928451236503779</v>
      </c>
      <c r="S91" s="9">
        <f t="shared" si="14"/>
        <v>0.27826661384959855</v>
      </c>
      <c r="T91" s="9">
        <f t="shared" si="12"/>
        <v>1.5500768731341137</v>
      </c>
      <c r="U91" s="14">
        <f t="shared" si="15"/>
        <v>3.1083824999561324E-6</v>
      </c>
      <c r="W91" s="14">
        <f t="shared" si="13"/>
        <v>0.1513799398814768</v>
      </c>
      <c r="X91" s="16">
        <f t="shared" si="16"/>
        <v>0.11361097951395893</v>
      </c>
    </row>
    <row r="92" spans="1:24" x14ac:dyDescent="0.3">
      <c r="A92" s="9">
        <v>13</v>
      </c>
      <c r="B92" s="9">
        <v>0.97635838312361378</v>
      </c>
      <c r="C92" s="9">
        <v>0.98810848752736347</v>
      </c>
      <c r="D92" s="9">
        <v>0.96474800523293669</v>
      </c>
      <c r="E92" s="9">
        <v>0.49</v>
      </c>
      <c r="F92" s="9">
        <v>0.2</v>
      </c>
      <c r="G92" s="9">
        <v>1.3370952532348599</v>
      </c>
      <c r="N92" s="9">
        <f t="shared" si="9"/>
        <v>1.7603151563581334</v>
      </c>
      <c r="O92" s="9">
        <f t="shared" si="10"/>
        <v>7.131568260557307</v>
      </c>
      <c r="P92" s="9">
        <f t="shared" si="11"/>
        <v>-1.4520171341144374</v>
      </c>
      <c r="Q92" s="9">
        <f t="shared" si="14"/>
        <v>0.85324912691257715</v>
      </c>
      <c r="R92" s="9">
        <f t="shared" si="14"/>
        <v>0.99920117399813202</v>
      </c>
      <c r="S92" s="9">
        <f t="shared" si="14"/>
        <v>0.18969132122048685</v>
      </c>
      <c r="T92" s="9">
        <f t="shared" si="12"/>
        <v>1.3387736721261563</v>
      </c>
      <c r="U92" s="14">
        <f t="shared" si="15"/>
        <v>2.8170899746605857E-6</v>
      </c>
      <c r="W92" s="14">
        <f t="shared" si="13"/>
        <v>3.0391322099295921E-2</v>
      </c>
      <c r="X92" s="16">
        <f t="shared" si="16"/>
        <v>0.12552724925436345</v>
      </c>
    </row>
    <row r="93" spans="1:24" x14ac:dyDescent="0.3">
      <c r="A93" s="9">
        <v>14</v>
      </c>
      <c r="B93" s="9">
        <v>0.95144310139704413</v>
      </c>
      <c r="C93" s="9">
        <v>0.97541944895365096</v>
      </c>
      <c r="D93" s="9">
        <v>0.92805610567545749</v>
      </c>
      <c r="E93" s="9">
        <v>0.35999999999999988</v>
      </c>
      <c r="F93" s="9">
        <v>0.2</v>
      </c>
      <c r="G93" s="9">
        <v>1.1392325302580599</v>
      </c>
      <c r="N93" s="9">
        <f t="shared" si="9"/>
        <v>1.3346915817148277</v>
      </c>
      <c r="O93" s="9">
        <f t="shared" si="10"/>
        <v>6.9209325731854872</v>
      </c>
      <c r="P93" s="9">
        <f t="shared" si="11"/>
        <v>-1.8835741725131898</v>
      </c>
      <c r="Q93" s="9">
        <f t="shared" si="14"/>
        <v>0.79161561852326445</v>
      </c>
      <c r="R93" s="9">
        <f t="shared" si="14"/>
        <v>0.99901406388313374</v>
      </c>
      <c r="S93" s="9">
        <f t="shared" si="14"/>
        <v>0.13197887586017204</v>
      </c>
      <c r="T93" s="9">
        <f t="shared" si="12"/>
        <v>1.1428837363957778</v>
      </c>
      <c r="U93" s="14">
        <f t="shared" si="15"/>
        <v>1.3331306260108536E-5</v>
      </c>
      <c r="W93" s="14">
        <f t="shared" si="13"/>
        <v>5.5373867400945298E-4</v>
      </c>
      <c r="X93" s="16">
        <f t="shared" si="16"/>
        <v>0.32049700484683147</v>
      </c>
    </row>
    <row r="94" spans="1:24" x14ac:dyDescent="0.3">
      <c r="A94" s="9">
        <v>15</v>
      </c>
      <c r="B94" s="9">
        <v>0.91157954485698101</v>
      </c>
      <c r="C94" s="9">
        <v>0.95476674892718227</v>
      </c>
      <c r="D94" s="9">
        <v>0.87034583843162083</v>
      </c>
      <c r="E94" s="9">
        <v>0.25</v>
      </c>
      <c r="F94" s="9">
        <v>0.2</v>
      </c>
      <c r="G94" s="9">
        <v>0.96567837385484201</v>
      </c>
      <c r="N94" s="9">
        <f t="shared" si="9"/>
        <v>0.97542394390243958</v>
      </c>
      <c r="O94" s="9">
        <f t="shared" si="10"/>
        <v>6.5728167536551831</v>
      </c>
      <c r="P94" s="9">
        <f t="shared" si="11"/>
        <v>-2.2484247033430345</v>
      </c>
      <c r="Q94" s="9">
        <f t="shared" si="14"/>
        <v>0.72619928375650444</v>
      </c>
      <c r="R94" s="9">
        <f t="shared" si="14"/>
        <v>0.99860409681953666</v>
      </c>
      <c r="S94" s="9">
        <f t="shared" si="14"/>
        <v>9.5485433394896943E-2</v>
      </c>
      <c r="T94" s="9">
        <f t="shared" si="12"/>
        <v>0.96439550797560969</v>
      </c>
      <c r="U94" s="14">
        <f t="shared" si="15"/>
        <v>1.6457448640985134E-6</v>
      </c>
      <c r="W94" s="14">
        <f t="shared" si="13"/>
        <v>3.8842816109802683E-2</v>
      </c>
      <c r="X94" s="16">
        <f t="shared" si="16"/>
        <v>0.13284608146616284</v>
      </c>
    </row>
    <row r="95" spans="1:24" x14ac:dyDescent="0.3">
      <c r="A95" s="9">
        <v>16</v>
      </c>
      <c r="B95" s="9">
        <v>0.85026083486688353</v>
      </c>
      <c r="C95" s="9">
        <v>0.92209589244659562</v>
      </c>
      <c r="D95" s="9">
        <v>0.78402202333896664</v>
      </c>
      <c r="E95" s="9">
        <v>0.15999999999999992</v>
      </c>
      <c r="F95" s="9">
        <v>0.2</v>
      </c>
      <c r="G95" s="9">
        <v>0.810547005110413</v>
      </c>
      <c r="N95" s="9">
        <f t="shared" si="9"/>
        <v>0.68224667217502699</v>
      </c>
      <c r="O95" s="9">
        <f t="shared" si="10"/>
        <v>6.0396825756007733</v>
      </c>
      <c r="P95" s="9">
        <f t="shared" si="11"/>
        <v>-2.5492992750170842</v>
      </c>
      <c r="Q95" s="9">
        <f t="shared" si="14"/>
        <v>0.66423994675196496</v>
      </c>
      <c r="R95" s="9">
        <f t="shared" si="14"/>
        <v>0.9976233469377187</v>
      </c>
      <c r="S95" s="9">
        <f t="shared" si="14"/>
        <v>7.247357479582732E-2</v>
      </c>
      <c r="T95" s="9">
        <f t="shared" si="12"/>
        <v>0.81003687474149599</v>
      </c>
      <c r="U95" s="14">
        <f t="shared" si="15"/>
        <v>2.6023299329140019E-7</v>
      </c>
      <c r="W95" s="14">
        <f t="shared" si="13"/>
        <v>0.1240569402993555</v>
      </c>
      <c r="X95" s="16">
        <f t="shared" si="16"/>
        <v>6.29365558938208E-2</v>
      </c>
    </row>
    <row r="96" spans="1:24" x14ac:dyDescent="0.3">
      <c r="A96" s="9">
        <v>17</v>
      </c>
      <c r="B96" s="9">
        <v>0.75804016693539389</v>
      </c>
      <c r="C96" s="9">
        <v>0.87065502177119147</v>
      </c>
      <c r="D96" s="9">
        <v>0.65999147804657321</v>
      </c>
      <c r="E96" s="9">
        <v>9.000000000000008E-2</v>
      </c>
      <c r="F96" s="9">
        <v>0.2</v>
      </c>
      <c r="G96" s="9">
        <v>0.68694748556843399</v>
      </c>
      <c r="N96" s="9">
        <f t="shared" si="9"/>
        <v>0.45400522381770958</v>
      </c>
      <c r="O96" s="9">
        <f t="shared" si="10"/>
        <v>5.2668732054627228</v>
      </c>
      <c r="P96" s="9">
        <f t="shared" si="11"/>
        <v>-2.7957033692046549</v>
      </c>
      <c r="Q96" s="9">
        <f t="shared" si="14"/>
        <v>0.61159108872580903</v>
      </c>
      <c r="R96" s="9">
        <f t="shared" si="14"/>
        <v>0.99486676728030843</v>
      </c>
      <c r="S96" s="9">
        <f t="shared" si="14"/>
        <v>5.7556799823075384E-2</v>
      </c>
      <c r="T96" s="9">
        <f t="shared" si="12"/>
        <v>0.68807706802211011</v>
      </c>
      <c r="U96" s="14">
        <f t="shared" si="15"/>
        <v>1.2759565196529515E-6</v>
      </c>
      <c r="W96" s="14">
        <f t="shared" si="13"/>
        <v>0.22640152941803773</v>
      </c>
      <c r="X96" s="16">
        <f t="shared" si="16"/>
        <v>0.16443505179168241</v>
      </c>
    </row>
    <row r="97" spans="1:24" x14ac:dyDescent="0.3">
      <c r="A97" s="9">
        <v>18</v>
      </c>
      <c r="B97" s="9">
        <v>0.62081341767015485</v>
      </c>
      <c r="C97" s="9">
        <v>0.78791713883514092</v>
      </c>
      <c r="D97" s="9">
        <v>0.48914953180113391</v>
      </c>
      <c r="E97" s="9">
        <v>4.0000000000000036E-2</v>
      </c>
      <c r="F97" s="9">
        <v>0.2</v>
      </c>
      <c r="G97" s="9">
        <v>0.60681303116372598</v>
      </c>
      <c r="N97" s="9">
        <f t="shared" si="9"/>
        <v>0.2868741010264787</v>
      </c>
      <c r="O97" s="9">
        <f t="shared" si="10"/>
        <v>4.2093617706221336</v>
      </c>
      <c r="P97" s="9">
        <f t="shared" si="11"/>
        <v>-3.0218088133737888</v>
      </c>
      <c r="Q97" s="9">
        <f t="shared" si="14"/>
        <v>0.57123068946598898</v>
      </c>
      <c r="R97" s="9">
        <f t="shared" si="14"/>
        <v>0.98536161879693995</v>
      </c>
      <c r="S97" s="9">
        <f t="shared" si="14"/>
        <v>4.6450291596188527E-2</v>
      </c>
      <c r="T97" s="9">
        <f t="shared" si="12"/>
        <v>0.60946167434787502</v>
      </c>
      <c r="U97" s="14">
        <f t="shared" si="15"/>
        <v>7.0153107169391409E-6</v>
      </c>
      <c r="W97" s="14">
        <f t="shared" si="13"/>
        <v>0.30908168306842215</v>
      </c>
      <c r="X97" s="16">
        <f t="shared" si="16"/>
        <v>0.43648422959367816</v>
      </c>
    </row>
    <row r="98" spans="1:24" x14ac:dyDescent="0.3">
      <c r="A98" s="9">
        <v>19</v>
      </c>
      <c r="B98" s="9">
        <v>0.41411550520763146</v>
      </c>
      <c r="C98" s="9">
        <v>0.64351806906071529</v>
      </c>
      <c r="D98" s="9">
        <v>0.26649081027931787</v>
      </c>
      <c r="E98" s="9">
        <v>1.0000000000000009E-2</v>
      </c>
      <c r="F98" s="9">
        <v>0.2</v>
      </c>
      <c r="G98" s="9">
        <v>0.60109373505100305</v>
      </c>
      <c r="N98" s="9">
        <f t="shared" si="9"/>
        <v>0.16716072140538343</v>
      </c>
      <c r="O98" s="9">
        <f t="shared" si="10"/>
        <v>2.8979694241992098</v>
      </c>
      <c r="P98" s="9">
        <f t="shared" si="11"/>
        <v>-3.3790921148895139</v>
      </c>
      <c r="Q98" s="9">
        <f t="shared" si="14"/>
        <v>0.54169314060133389</v>
      </c>
      <c r="R98" s="9">
        <f t="shared" si="14"/>
        <v>0.94774596698130376</v>
      </c>
      <c r="S98" s="9">
        <f t="shared" si="14"/>
        <v>3.2955316162459919E-2</v>
      </c>
      <c r="T98" s="9">
        <f t="shared" si="12"/>
        <v>0.60575371530080835</v>
      </c>
      <c r="U98" s="14">
        <f t="shared" si="15"/>
        <v>2.1715415928575427E-5</v>
      </c>
      <c r="W98" s="14">
        <f t="shared" si="13"/>
        <v>0.31547369193792679</v>
      </c>
      <c r="X98" s="16">
        <f t="shared" si="16"/>
        <v>0.77525017781293193</v>
      </c>
    </row>
    <row r="99" spans="1:24" x14ac:dyDescent="0.3">
      <c r="A99" s="9">
        <v>20</v>
      </c>
      <c r="B99" s="9">
        <v>0.6046213212551188</v>
      </c>
      <c r="C99" s="9">
        <v>0.77757399728586529</v>
      </c>
      <c r="D99" s="9">
        <v>0.47013781761260415</v>
      </c>
      <c r="E99" s="9">
        <v>0.13</v>
      </c>
      <c r="F99" s="9">
        <v>0.2</v>
      </c>
      <c r="G99" s="9">
        <v>0.77790372490236304</v>
      </c>
      <c r="N99" s="9">
        <f t="shared" si="9"/>
        <v>0.58180359012019855</v>
      </c>
      <c r="O99" s="9">
        <f t="shared" si="10"/>
        <v>4.0762049542750445</v>
      </c>
      <c r="P99" s="9">
        <f t="shared" si="11"/>
        <v>-2.732897211148738</v>
      </c>
      <c r="Q99" s="9">
        <f t="shared" si="14"/>
        <v>0.64148230672313833</v>
      </c>
      <c r="R99" s="9">
        <f t="shared" si="14"/>
        <v>0.98331148123851375</v>
      </c>
      <c r="S99" s="9">
        <f t="shared" si="14"/>
        <v>6.1059849845511723E-2</v>
      </c>
      <c r="T99" s="9">
        <f t="shared" si="12"/>
        <v>0.7772263929509583</v>
      </c>
      <c r="U99" s="14">
        <f t="shared" si="15"/>
        <v>4.5877857239374765E-7</v>
      </c>
      <c r="W99" s="14">
        <f t="shared" si="13"/>
        <v>0.14811757209659904</v>
      </c>
      <c r="X99" s="16">
        <f t="shared" si="16"/>
        <v>8.707143695574282E-2</v>
      </c>
    </row>
    <row r="100" spans="1:24" x14ac:dyDescent="0.3">
      <c r="A100" s="9">
        <v>21</v>
      </c>
      <c r="B100" s="9">
        <v>0.5360450892996631</v>
      </c>
      <c r="C100" s="9">
        <v>0.73215100170638503</v>
      </c>
      <c r="D100" s="9">
        <v>0.39246594909053695</v>
      </c>
      <c r="E100" s="9">
        <v>3.6250000000000004E-2</v>
      </c>
      <c r="F100" s="9">
        <v>0.2</v>
      </c>
      <c r="G100" s="9">
        <v>0.61355297991952995</v>
      </c>
      <c r="N100" s="9">
        <f t="shared" si="9"/>
        <v>0.26878554504099195</v>
      </c>
      <c r="O100" s="9">
        <f t="shared" si="10"/>
        <v>3.6221763837567265</v>
      </c>
      <c r="P100" s="9">
        <f t="shared" si="11"/>
        <v>-3.1075085449900515</v>
      </c>
      <c r="Q100" s="9">
        <f t="shared" si="14"/>
        <v>0.56679473378483669</v>
      </c>
      <c r="R100" s="9">
        <f t="shared" si="14"/>
        <v>0.97397115605679274</v>
      </c>
      <c r="S100" s="9">
        <f t="shared" si="14"/>
        <v>4.2798595160581134E-2</v>
      </c>
      <c r="T100" s="9">
        <f t="shared" si="12"/>
        <v>0.61825800918780471</v>
      </c>
      <c r="U100" s="14">
        <f t="shared" si="15"/>
        <v>2.213730041532215E-5</v>
      </c>
      <c r="W100" s="14">
        <f t="shared" si="13"/>
        <v>0.30163294543137525</v>
      </c>
      <c r="X100" s="16">
        <f t="shared" si="16"/>
        <v>0.76684971343336106</v>
      </c>
    </row>
    <row r="101" spans="1:24" x14ac:dyDescent="0.3">
      <c r="A101" s="9">
        <v>22</v>
      </c>
      <c r="B101" s="9">
        <v>0.482056160699321</v>
      </c>
      <c r="C101" s="9">
        <v>0.69430264344831716</v>
      </c>
      <c r="D101" s="9">
        <v>0.33469286666408549</v>
      </c>
      <c r="E101" s="9">
        <v>1.8888888888888844E-2</v>
      </c>
      <c r="F101" s="9">
        <v>0.2</v>
      </c>
      <c r="G101" s="9">
        <v>0.607009489949355</v>
      </c>
      <c r="N101" s="9">
        <f t="shared" si="9"/>
        <v>0.20609054882009079</v>
      </c>
      <c r="O101" s="9">
        <f t="shared" si="10"/>
        <v>3.2839235041490693</v>
      </c>
      <c r="P101" s="9">
        <f t="shared" si="11"/>
        <v>-3.2330602574808989</v>
      </c>
      <c r="Q101" s="9">
        <f t="shared" si="14"/>
        <v>0.55134104700943465</v>
      </c>
      <c r="R101" s="9">
        <f t="shared" si="14"/>
        <v>0.96387315562467291</v>
      </c>
      <c r="S101" s="9">
        <f t="shared" si="14"/>
        <v>3.7940386790821221E-2</v>
      </c>
      <c r="T101" s="9">
        <f t="shared" si="12"/>
        <v>0.60011056470067436</v>
      </c>
      <c r="U101" s="14">
        <f t="shared" si="15"/>
        <v>4.7595169586883118E-5</v>
      </c>
      <c r="W101" s="14">
        <f t="shared" si="13"/>
        <v>0.30886327868821545</v>
      </c>
      <c r="X101" s="16">
        <f t="shared" si="16"/>
        <v>1.1365432275624281</v>
      </c>
    </row>
    <row r="102" spans="1:24" x14ac:dyDescent="0.3">
      <c r="A102" s="9">
        <v>23</v>
      </c>
      <c r="B102" s="9">
        <v>0.44329834371454524</v>
      </c>
      <c r="C102" s="9">
        <v>0.66580653625099329</v>
      </c>
      <c r="D102" s="9">
        <v>0.29515093475438386</v>
      </c>
      <c r="E102" s="9">
        <v>1.2812500000000004E-2</v>
      </c>
      <c r="F102" s="9">
        <v>0.2</v>
      </c>
      <c r="G102" s="9">
        <v>0.60310542736789996</v>
      </c>
      <c r="N102" s="9">
        <f t="shared" si="9"/>
        <v>0.18096880014940361</v>
      </c>
      <c r="O102" s="9">
        <f t="shared" si="10"/>
        <v>3.0577744097873096</v>
      </c>
      <c r="P102" s="9">
        <f t="shared" si="11"/>
        <v>-3.3148338257277841</v>
      </c>
      <c r="Q102" s="9">
        <f t="shared" si="14"/>
        <v>0.54511913067200313</v>
      </c>
      <c r="R102" s="9">
        <f t="shared" si="14"/>
        <v>0.95511698575144166</v>
      </c>
      <c r="S102" s="9">
        <f t="shared" si="14"/>
        <v>3.5065792903086992E-2</v>
      </c>
      <c r="T102" s="9">
        <f t="shared" si="12"/>
        <v>0.60092464292675662</v>
      </c>
      <c r="U102" s="14">
        <f t="shared" si="15"/>
        <v>4.7558207787328487E-6</v>
      </c>
      <c r="W102" s="14">
        <f t="shared" si="13"/>
        <v>0.31321792259494829</v>
      </c>
      <c r="X102" s="16">
        <f t="shared" si="16"/>
        <v>0.36159257439628983</v>
      </c>
    </row>
    <row r="103" spans="1:24" x14ac:dyDescent="0.3">
      <c r="A103" s="9">
        <v>24</v>
      </c>
      <c r="B103" s="9">
        <v>0.75641498946707786</v>
      </c>
      <c r="C103" s="9">
        <v>0.86972121364669375</v>
      </c>
      <c r="D103" s="9">
        <v>0.65787016265985809</v>
      </c>
      <c r="E103" s="9">
        <v>0.24222222222222223</v>
      </c>
      <c r="F103" s="9">
        <v>0.2</v>
      </c>
      <c r="G103" s="9">
        <v>0.96183963737754896</v>
      </c>
      <c r="N103" s="9">
        <f t="shared" si="9"/>
        <v>0.95425981564137941</v>
      </c>
      <c r="O103" s="9">
        <f t="shared" si="10"/>
        <v>5.2258768497237931</v>
      </c>
      <c r="P103" s="9">
        <f t="shared" si="11"/>
        <v>-2.288216874657933</v>
      </c>
      <c r="Q103" s="9">
        <f t="shared" si="14"/>
        <v>0.72197105390714733</v>
      </c>
      <c r="R103" s="9">
        <f t="shared" si="14"/>
        <v>0.99465309877831587</v>
      </c>
      <c r="S103" s="9">
        <f t="shared" si="14"/>
        <v>9.2103547325125906E-2</v>
      </c>
      <c r="T103" s="9">
        <f t="shared" si="12"/>
        <v>0.95935491354956515</v>
      </c>
      <c r="U103" s="14">
        <f t="shared" si="15"/>
        <v>6.173852501350541E-6</v>
      </c>
      <c r="W103" s="14">
        <f t="shared" si="13"/>
        <v>4.0370672975887048E-2</v>
      </c>
      <c r="X103" s="16">
        <f t="shared" si="16"/>
        <v>0.25833036313188362</v>
      </c>
    </row>
    <row r="104" spans="1:24" x14ac:dyDescent="0.3">
      <c r="A104" s="9">
        <v>25</v>
      </c>
      <c r="B104" s="9">
        <v>0.84330333318766382</v>
      </c>
      <c r="C104" s="9">
        <v>0.91831548674062113</v>
      </c>
      <c r="D104" s="9">
        <v>0.77441851088621827</v>
      </c>
      <c r="E104" s="9">
        <v>0.32624999999999993</v>
      </c>
      <c r="F104" s="9">
        <v>0.2</v>
      </c>
      <c r="G104" s="9">
        <v>1.0931739738332</v>
      </c>
      <c r="N104" s="9">
        <f t="shared" si="9"/>
        <v>1.2288200942431236</v>
      </c>
      <c r="O104" s="9">
        <f t="shared" si="10"/>
        <v>5.9485001029252143</v>
      </c>
      <c r="P104" s="9">
        <f t="shared" si="11"/>
        <v>-1.9950448154171472</v>
      </c>
      <c r="Q104" s="9">
        <f t="shared" si="14"/>
        <v>0.77361199644869083</v>
      </c>
      <c r="R104" s="9">
        <f t="shared" si="14"/>
        <v>0.99739704113334771</v>
      </c>
      <c r="S104" s="9">
        <f t="shared" si="14"/>
        <v>0.11972416709892121</v>
      </c>
      <c r="T104" s="9">
        <f t="shared" si="12"/>
        <v>1.0941196370342552</v>
      </c>
      <c r="U104" s="14">
        <f t="shared" si="15"/>
        <v>8.9427888982988818E-7</v>
      </c>
      <c r="W104" s="14">
        <f t="shared" si="13"/>
        <v>4.842797191894105E-3</v>
      </c>
      <c r="X104" s="16">
        <f t="shared" si="16"/>
        <v>8.6506194228097341E-2</v>
      </c>
    </row>
    <row r="105" spans="1:24" x14ac:dyDescent="0.3">
      <c r="A105" s="9">
        <v>26</v>
      </c>
      <c r="B105" s="9">
        <v>0.82722243711388821</v>
      </c>
      <c r="C105" s="9">
        <v>0.90951769477778055</v>
      </c>
      <c r="D105" s="9">
        <v>0.75237344407228135</v>
      </c>
      <c r="E105" s="9">
        <v>0.17000000000000004</v>
      </c>
      <c r="F105" s="9">
        <v>0.2</v>
      </c>
      <c r="G105" s="9">
        <v>0.82638332057214603</v>
      </c>
      <c r="N105" s="9">
        <f t="shared" si="9"/>
        <v>0.71580533699698468</v>
      </c>
      <c r="O105" s="9">
        <f t="shared" si="10"/>
        <v>5.8368898385994648</v>
      </c>
      <c r="P105" s="9">
        <f t="shared" si="11"/>
        <v>-2.5176372197522587</v>
      </c>
      <c r="Q105" s="9">
        <f t="shared" si="14"/>
        <v>0.67168265576836306</v>
      </c>
      <c r="R105" s="9">
        <f t="shared" si="14"/>
        <v>0.99709058571142417</v>
      </c>
      <c r="S105" s="9">
        <f t="shared" si="14"/>
        <v>7.4630957640717463E-2</v>
      </c>
      <c r="T105" s="9">
        <f t="shared" si="12"/>
        <v>0.82914339844055274</v>
      </c>
      <c r="U105" s="14">
        <f t="shared" si="15"/>
        <v>7.6180298396685132E-6</v>
      </c>
      <c r="W105" s="14">
        <f t="shared" si="13"/>
        <v>0.11315208451110521</v>
      </c>
      <c r="X105" s="16">
        <f t="shared" si="16"/>
        <v>0.3339948665101044</v>
      </c>
    </row>
    <row r="106" spans="1:24" x14ac:dyDescent="0.3">
      <c r="A106" s="9">
        <v>27</v>
      </c>
      <c r="B106" s="9">
        <v>0.79294453563825062</v>
      </c>
      <c r="C106" s="9">
        <v>0.8904743318244781</v>
      </c>
      <c r="D106" s="9">
        <v>0.70609675554634266</v>
      </c>
      <c r="E106" s="9">
        <v>0.11531250000000004</v>
      </c>
      <c r="F106" s="9">
        <v>0.2</v>
      </c>
      <c r="G106" s="9">
        <v>0.73146794351734301</v>
      </c>
      <c r="N106" s="9">
        <f t="shared" si="9"/>
        <v>0.53682337358847065</v>
      </c>
      <c r="O106" s="9">
        <f t="shared" si="10"/>
        <v>5.5535529371065202</v>
      </c>
      <c r="P106" s="9">
        <f t="shared" si="11"/>
        <v>-2.7043970420799202</v>
      </c>
      <c r="Q106" s="9">
        <f t="shared" si="14"/>
        <v>0.63107314454566932</v>
      </c>
      <c r="R106" s="9">
        <f t="shared" si="14"/>
        <v>0.99614127755708126</v>
      </c>
      <c r="S106" s="9">
        <f t="shared" si="14"/>
        <v>6.2714394705882304E-2</v>
      </c>
      <c r="T106" s="9">
        <f t="shared" si="12"/>
        <v>0.73228351225824606</v>
      </c>
      <c r="U106" s="14">
        <f t="shared" si="15"/>
        <v>6.6515237113818614E-7</v>
      </c>
      <c r="W106" s="14">
        <f t="shared" si="13"/>
        <v>0.18601644606802206</v>
      </c>
      <c r="X106" s="16">
        <f t="shared" si="16"/>
        <v>0.11149753699134088</v>
      </c>
    </row>
    <row r="107" spans="1:24" x14ac:dyDescent="0.3">
      <c r="A107" s="9">
        <v>28</v>
      </c>
      <c r="B107" s="9">
        <v>0.72336966320800022</v>
      </c>
      <c r="C107" s="9">
        <v>0.8505114127441209</v>
      </c>
      <c r="D107" s="9">
        <v>0.61523415419127547</v>
      </c>
      <c r="E107" s="9">
        <v>9.9999999999999978E-2</v>
      </c>
      <c r="F107" s="9">
        <v>0.2</v>
      </c>
      <c r="G107" s="9">
        <v>0.70884526037894102</v>
      </c>
      <c r="N107" s="9">
        <f t="shared" si="9"/>
        <v>0.48682454863061753</v>
      </c>
      <c r="O107" s="9">
        <f t="shared" si="10"/>
        <v>4.9833937519045044</v>
      </c>
      <c r="P107" s="9">
        <f t="shared" si="11"/>
        <v>-2.7719968074561026</v>
      </c>
      <c r="Q107" s="9">
        <f t="shared" si="14"/>
        <v>0.61935809236725181</v>
      </c>
      <c r="R107" s="9">
        <f t="shared" si="14"/>
        <v>0.99319584051763299</v>
      </c>
      <c r="S107" s="9">
        <f t="shared" si="14"/>
        <v>5.8856308339306496E-2</v>
      </c>
      <c r="T107" s="9">
        <f t="shared" si="12"/>
        <v>0.70908697667962572</v>
      </c>
      <c r="U107" s="14">
        <f t="shared" si="15"/>
        <v>5.8426770016697405E-8</v>
      </c>
      <c r="W107" s="14">
        <f t="shared" si="13"/>
        <v>0.20604238818310683</v>
      </c>
      <c r="X107" s="16">
        <f t="shared" si="16"/>
        <v>3.4100009437247752E-2</v>
      </c>
    </row>
    <row r="108" spans="1:24" x14ac:dyDescent="0.3">
      <c r="A108" s="9">
        <v>29</v>
      </c>
      <c r="B108" s="9">
        <v>0.90058022766249946</v>
      </c>
      <c r="C108" s="9">
        <v>0.94898905560733393</v>
      </c>
      <c r="D108" s="9">
        <v>0.85464077974807318</v>
      </c>
      <c r="E108" s="9">
        <v>0.39999999999999991</v>
      </c>
      <c r="F108" s="9">
        <v>0.2</v>
      </c>
      <c r="G108" s="9">
        <v>1.20594729132112</v>
      </c>
      <c r="N108" s="9">
        <f t="shared" si="9"/>
        <v>1.4689090441176953</v>
      </c>
      <c r="O108" s="9">
        <f t="shared" si="10"/>
        <v>6.4455205847013941</v>
      </c>
      <c r="P108" s="9">
        <f t="shared" si="11"/>
        <v>-1.747697357493105</v>
      </c>
      <c r="Q108" s="9">
        <f t="shared" si="14"/>
        <v>0.81289150947726174</v>
      </c>
      <c r="R108" s="9">
        <f t="shared" si="14"/>
        <v>0.9984148986708492</v>
      </c>
      <c r="S108" s="9">
        <f t="shared" si="14"/>
        <v>0.14833786398046522</v>
      </c>
      <c r="T108" s="9">
        <f t="shared" si="12"/>
        <v>1.2076315544685139</v>
      </c>
      <c r="U108" s="14">
        <f t="shared" si="15"/>
        <v>2.8367423496691862E-6</v>
      </c>
      <c r="W108" s="14">
        <f t="shared" si="13"/>
        <v>1.8647808566748766E-3</v>
      </c>
      <c r="X108" s="16">
        <f t="shared" si="16"/>
        <v>0.13966308142280226</v>
      </c>
    </row>
    <row r="109" spans="1:24" x14ac:dyDescent="0.3">
      <c r="A109" s="9">
        <v>30</v>
      </c>
      <c r="B109" s="9">
        <v>0.93966736106488868</v>
      </c>
      <c r="C109" s="9">
        <v>0.96936441087182934</v>
      </c>
      <c r="D109" s="9">
        <v>0.91088009787415281</v>
      </c>
      <c r="E109" s="9">
        <v>0.47222222222222221</v>
      </c>
      <c r="F109" s="9">
        <v>0.2</v>
      </c>
      <c r="G109" s="9">
        <v>1.3151609586591499</v>
      </c>
      <c r="N109" s="9">
        <f t="shared" si="9"/>
        <v>1.7041869267462484</v>
      </c>
      <c r="O109" s="9">
        <f t="shared" si="10"/>
        <v>6.7909755309855759</v>
      </c>
      <c r="P109" s="9">
        <f t="shared" si="11"/>
        <v>-1.5083411022016389</v>
      </c>
      <c r="Q109" s="9">
        <f t="shared" si="14"/>
        <v>0.84608078083369564</v>
      </c>
      <c r="R109" s="9">
        <f t="shared" si="14"/>
        <v>0.99887738980262086</v>
      </c>
      <c r="S109" s="9">
        <f t="shared" si="14"/>
        <v>0.18118477185439213</v>
      </c>
      <c r="T109" s="9">
        <f t="shared" si="12"/>
        <v>1.3144805337705758</v>
      </c>
      <c r="U109" s="14">
        <f t="shared" si="15"/>
        <v>4.6297802899109814E-7</v>
      </c>
      <c r="W109" s="14">
        <f t="shared" si="13"/>
        <v>2.3224777275070472E-2</v>
      </c>
      <c r="X109" s="16">
        <f t="shared" si="16"/>
        <v>5.173700482014245E-2</v>
      </c>
    </row>
    <row r="110" spans="1:24" x14ac:dyDescent="0.3">
      <c r="A110" s="9">
        <v>31</v>
      </c>
      <c r="B110" s="9">
        <v>0.93311773293603162</v>
      </c>
      <c r="C110" s="9">
        <v>0.96598019282800607</v>
      </c>
      <c r="D110" s="9">
        <v>0.90137324759278015</v>
      </c>
      <c r="E110" s="9">
        <v>0.3203125</v>
      </c>
      <c r="F110" s="9">
        <v>0.2</v>
      </c>
      <c r="G110" s="9">
        <v>1.07814412199008</v>
      </c>
      <c r="N110" s="9">
        <f t="shared" si="9"/>
        <v>1.2053404699914849</v>
      </c>
      <c r="O110" s="9">
        <f t="shared" si="10"/>
        <v>6.7578945817808096</v>
      </c>
      <c r="P110" s="9">
        <f t="shared" si="11"/>
        <v>-2.0147802987851335</v>
      </c>
      <c r="Q110" s="9">
        <f t="shared" si="14"/>
        <v>0.76947346071701928</v>
      </c>
      <c r="R110" s="9">
        <f t="shared" si="14"/>
        <v>0.99883967550970487</v>
      </c>
      <c r="S110" s="9">
        <f t="shared" si="14"/>
        <v>0.11765979870405432</v>
      </c>
      <c r="T110" s="9">
        <f t="shared" si="12"/>
        <v>1.0802345302576226</v>
      </c>
      <c r="U110" s="14">
        <f t="shared" si="15"/>
        <v>4.3698067250104014E-6</v>
      </c>
      <c r="W110" s="14">
        <f t="shared" si="13"/>
        <v>7.1605547010214514E-3</v>
      </c>
      <c r="X110" s="16">
        <f t="shared" si="16"/>
        <v>0.19388950186771237</v>
      </c>
    </row>
    <row r="111" spans="1:24" x14ac:dyDescent="0.3">
      <c r="A111" s="9">
        <v>32</v>
      </c>
      <c r="B111" s="9">
        <v>0.67803485561868637</v>
      </c>
      <c r="C111" s="9">
        <v>0.82342871920931104</v>
      </c>
      <c r="D111" s="9">
        <v>0.55831337274136517</v>
      </c>
      <c r="E111" s="9">
        <v>6.0816326530612308E-2</v>
      </c>
      <c r="F111" s="9">
        <v>0.2</v>
      </c>
      <c r="G111" s="9">
        <v>0.64447080451190997</v>
      </c>
      <c r="N111" s="9">
        <f t="shared" si="9"/>
        <v>0.35734215529439228</v>
      </c>
      <c r="O111" s="9">
        <f t="shared" si="10"/>
        <v>4.6343015600940909</v>
      </c>
      <c r="P111" s="9">
        <f t="shared" si="11"/>
        <v>-2.9203610571250991</v>
      </c>
      <c r="Q111" s="9">
        <f t="shared" si="14"/>
        <v>0.5883968928849137</v>
      </c>
      <c r="R111" s="9">
        <f t="shared" si="14"/>
        <v>0.99038054416354748</v>
      </c>
      <c r="S111" s="9">
        <f t="shared" si="14"/>
        <v>5.1156172645941973E-2</v>
      </c>
      <c r="T111" s="9">
        <f t="shared" si="12"/>
        <v>0.64096357076893595</v>
      </c>
      <c r="U111" s="14">
        <f t="shared" si="15"/>
        <v>1.2300688527855513E-5</v>
      </c>
      <c r="W111" s="14">
        <f t="shared" si="13"/>
        <v>0.26862802603575542</v>
      </c>
      <c r="X111" s="16">
        <f t="shared" si="16"/>
        <v>0.54420366577043289</v>
      </c>
    </row>
    <row r="112" spans="1:24" x14ac:dyDescent="0.3">
      <c r="A112" s="9">
        <v>33</v>
      </c>
      <c r="B112" s="9">
        <v>0.89158042542455807</v>
      </c>
      <c r="C112" s="9">
        <v>0.94423536548074616</v>
      </c>
      <c r="D112" s="9">
        <v>0.8418617688562372</v>
      </c>
      <c r="E112" s="9">
        <v>0.2432653061224489</v>
      </c>
      <c r="F112" s="9">
        <v>0.2</v>
      </c>
      <c r="G112" s="9">
        <v>0.95479702112842402</v>
      </c>
      <c r="N112" s="9">
        <f t="shared" si="9"/>
        <v>0.95425042289880169</v>
      </c>
      <c r="O112" s="9">
        <f t="shared" si="10"/>
        <v>6.3925596076887121</v>
      </c>
      <c r="P112" s="9">
        <f t="shared" si="11"/>
        <v>-2.2705200414977975</v>
      </c>
      <c r="Q112" s="9">
        <f t="shared" si="14"/>
        <v>0.72196916850878889</v>
      </c>
      <c r="R112" s="9">
        <f t="shared" si="14"/>
        <v>0.99832883146249074</v>
      </c>
      <c r="S112" s="9">
        <f t="shared" si="14"/>
        <v>9.3594085591199042E-2</v>
      </c>
      <c r="T112" s="9">
        <f t="shared" si="12"/>
        <v>0.9538902649148463</v>
      </c>
      <c r="U112" s="14">
        <f t="shared" si="15"/>
        <v>8.2220683086180313E-7</v>
      </c>
      <c r="W112" s="14">
        <f t="shared" si="13"/>
        <v>4.3250340357194432E-2</v>
      </c>
      <c r="X112" s="16">
        <f t="shared" si="16"/>
        <v>9.4968479531500061E-2</v>
      </c>
    </row>
    <row r="113" spans="1:24" x14ac:dyDescent="0.3">
      <c r="A113" s="9">
        <v>34</v>
      </c>
      <c r="B113" s="9">
        <v>0.96611717808573394</v>
      </c>
      <c r="C113" s="9">
        <v>0.98291259941346465</v>
      </c>
      <c r="D113" s="9">
        <v>0.94960874685025021</v>
      </c>
      <c r="E113" s="9">
        <v>0.54734693877551011</v>
      </c>
      <c r="F113" s="9">
        <v>0.2</v>
      </c>
      <c r="G113" s="9">
        <v>1.4201935475440399</v>
      </c>
      <c r="N113" s="9">
        <f t="shared" si="9"/>
        <v>1.9494483766054185</v>
      </c>
      <c r="O113" s="9">
        <f t="shared" si="10"/>
        <v>7.0245054053495402</v>
      </c>
      <c r="P113" s="9">
        <f t="shared" si="11"/>
        <v>-1.2597218118009055</v>
      </c>
      <c r="Q113" s="9">
        <f t="shared" si="14"/>
        <v>0.87538648043919387</v>
      </c>
      <c r="R113" s="9">
        <f t="shared" si="14"/>
        <v>0.99911098354868932</v>
      </c>
      <c r="S113" s="9">
        <f t="shared" si="14"/>
        <v>0.22102178448665483</v>
      </c>
      <c r="T113" s="9">
        <f t="shared" si="12"/>
        <v>1.4218621848063786</v>
      </c>
      <c r="U113" s="14">
        <f t="shared" si="15"/>
        <v>2.7843503132651218E-6</v>
      </c>
      <c r="W113" s="14">
        <f t="shared" si="13"/>
        <v>6.6269877803476582E-2</v>
      </c>
      <c r="X113" s="16">
        <f t="shared" si="16"/>
        <v>0.11749365184937478</v>
      </c>
    </row>
    <row r="114" spans="1:24" x14ac:dyDescent="0.3">
      <c r="A114" s="9">
        <v>35</v>
      </c>
      <c r="B114" s="9">
        <v>0.98325960470347551</v>
      </c>
      <c r="C114" s="9">
        <v>0.99159447593432848</v>
      </c>
      <c r="D114" s="9">
        <v>0.97499479243333798</v>
      </c>
      <c r="E114" s="9">
        <v>0.62781249999999988</v>
      </c>
      <c r="F114" s="9">
        <v>0.2</v>
      </c>
      <c r="G114" s="9">
        <v>1.5320589602505199</v>
      </c>
      <c r="N114" s="9">
        <f t="shared" si="9"/>
        <v>2.2127391974189026</v>
      </c>
      <c r="O114" s="9">
        <f t="shared" si="10"/>
        <v>7.171994603485464</v>
      </c>
      <c r="P114" s="9">
        <f t="shared" si="11"/>
        <v>-0.99292254406210656</v>
      </c>
      <c r="Q114" s="9">
        <f t="shared" si="14"/>
        <v>0.90138767626466509</v>
      </c>
      <c r="R114" s="9">
        <f t="shared" si="14"/>
        <v>0.99923279928209785</v>
      </c>
      <c r="S114" s="9">
        <f t="shared" si="14"/>
        <v>0.2703352071138993</v>
      </c>
      <c r="T114" s="9">
        <f t="shared" si="12"/>
        <v>1.5336684553258468</v>
      </c>
      <c r="U114" s="14">
        <f t="shared" si="15"/>
        <v>2.5904743975016326E-6</v>
      </c>
      <c r="W114" s="14">
        <f t="shared" si="13"/>
        <v>0.13637863261056493</v>
      </c>
      <c r="X114" s="16">
        <f t="shared" si="16"/>
        <v>0.10505438218015745</v>
      </c>
    </row>
    <row r="115" spans="1:24" x14ac:dyDescent="0.3">
      <c r="A115" s="9">
        <v>36</v>
      </c>
      <c r="B115" s="9">
        <v>0.63822315837842447</v>
      </c>
      <c r="C115" s="9">
        <v>0.79888870212215701</v>
      </c>
      <c r="D115" s="9">
        <v>0.50986927066124366</v>
      </c>
      <c r="E115" s="9">
        <v>4.4691358024691374E-2</v>
      </c>
      <c r="F115" s="9">
        <v>0.2</v>
      </c>
      <c r="G115" s="9">
        <v>0.61961196088557802</v>
      </c>
      <c r="N115" s="9">
        <f t="shared" si="9"/>
        <v>0.30306274050224036</v>
      </c>
      <c r="O115" s="9">
        <f t="shared" si="10"/>
        <v>4.3363772885136385</v>
      </c>
      <c r="P115" s="9">
        <f t="shared" si="11"/>
        <v>-2.99513558683954</v>
      </c>
      <c r="Q115" s="9">
        <f t="shared" si="14"/>
        <v>0.57519105793288838</v>
      </c>
      <c r="R115" s="9">
        <f t="shared" si="14"/>
        <v>0.98708513461754765</v>
      </c>
      <c r="S115" s="9">
        <f t="shared" si="14"/>
        <v>4.7646115546652781E-2</v>
      </c>
      <c r="T115" s="9">
        <f t="shared" si="12"/>
        <v>0.61574943445790897</v>
      </c>
      <c r="U115" s="14">
        <f t="shared" si="15"/>
        <v>1.4919110404441788E-5</v>
      </c>
      <c r="W115" s="14">
        <f t="shared" si="13"/>
        <v>0.29501433623185236</v>
      </c>
      <c r="X115" s="16">
        <f t="shared" si="16"/>
        <v>0.6233782869763429</v>
      </c>
    </row>
    <row r="116" spans="1:24" x14ac:dyDescent="0.3">
      <c r="A116" s="9">
        <v>37</v>
      </c>
      <c r="B116" s="9">
        <v>0.86512518623928769</v>
      </c>
      <c r="C116" s="9">
        <v>0.93012105999127204</v>
      </c>
      <c r="D116" s="9">
        <v>0.80467115525003297</v>
      </c>
      <c r="E116" s="9">
        <v>0.17876543209876539</v>
      </c>
      <c r="F116" s="9">
        <v>0.2</v>
      </c>
      <c r="G116" s="9">
        <v>0.83906213235784399</v>
      </c>
      <c r="N116" s="9">
        <f t="shared" si="9"/>
        <v>0.74338436306279565</v>
      </c>
      <c r="O116" s="9">
        <f t="shared" si="10"/>
        <v>6.1675587682283588</v>
      </c>
      <c r="P116" s="9">
        <f t="shared" si="11"/>
        <v>-2.4860497162809381</v>
      </c>
      <c r="Q116" s="9">
        <f t="shared" si="14"/>
        <v>0.67773547950447255</v>
      </c>
      <c r="R116" s="9">
        <f t="shared" si="14"/>
        <v>0.9979080380502211</v>
      </c>
      <c r="S116" s="9">
        <f t="shared" si="14"/>
        <v>7.6841951679782208E-2</v>
      </c>
      <c r="T116" s="9">
        <f t="shared" si="12"/>
        <v>0.84276440783118634</v>
      </c>
      <c r="U116" s="14">
        <f t="shared" si="15"/>
        <v>1.3706843680512265E-5</v>
      </c>
      <c r="W116" s="14">
        <f t="shared" si="13"/>
        <v>0.10478301749697641</v>
      </c>
      <c r="X116" s="16">
        <f t="shared" si="16"/>
        <v>0.44123972833079694</v>
      </c>
    </row>
    <row r="117" spans="1:24" x14ac:dyDescent="0.3">
      <c r="A117" s="9">
        <v>38</v>
      </c>
      <c r="B117" s="9">
        <v>0.9598686322313662</v>
      </c>
      <c r="C117" s="9">
        <v>0.97972885648600039</v>
      </c>
      <c r="D117" s="9">
        <v>0.94041099743281709</v>
      </c>
      <c r="E117" s="9">
        <v>0.40222222222222215</v>
      </c>
      <c r="F117" s="9">
        <v>0.2</v>
      </c>
      <c r="G117" s="9">
        <v>1.2061848974223199</v>
      </c>
      <c r="N117" s="9">
        <f t="shared" si="9"/>
        <v>1.4729241659834376</v>
      </c>
      <c r="O117" s="9">
        <f t="shared" si="10"/>
        <v>6.9921246087556357</v>
      </c>
      <c r="P117" s="9">
        <f t="shared" si="11"/>
        <v>-1.7433738419194951</v>
      </c>
      <c r="Q117" s="9">
        <f t="shared" si="14"/>
        <v>0.81350143803849484</v>
      </c>
      <c r="R117" s="9">
        <f t="shared" si="14"/>
        <v>0.99908175220850837</v>
      </c>
      <c r="S117" s="9">
        <f t="shared" si="14"/>
        <v>0.14888490075358521</v>
      </c>
      <c r="T117" s="9">
        <f t="shared" si="12"/>
        <v>1.2082379963952206</v>
      </c>
      <c r="U117" s="14">
        <f t="shared" si="15"/>
        <v>4.215215392525599E-6</v>
      </c>
      <c r="W117" s="14">
        <f t="shared" si="13"/>
        <v>1.8853584534141913E-3</v>
      </c>
      <c r="X117" s="16">
        <f t="shared" si="16"/>
        <v>0.1702142828423904</v>
      </c>
    </row>
    <row r="118" spans="1:24" x14ac:dyDescent="0.3">
      <c r="A118" s="9">
        <v>39</v>
      </c>
      <c r="B118" s="9">
        <v>0.99334100566047745</v>
      </c>
      <c r="C118" s="9">
        <v>0.99666494152271545</v>
      </c>
      <c r="D118" s="9">
        <v>0.99002815531871613</v>
      </c>
      <c r="E118" s="9">
        <v>0.71506172839506177</v>
      </c>
      <c r="F118" s="9">
        <v>0.2</v>
      </c>
      <c r="G118" s="9">
        <v>1.6530639070021</v>
      </c>
      <c r="N118" s="9">
        <f t="shared" si="9"/>
        <v>2.4987607292275369</v>
      </c>
      <c r="O118" s="9">
        <f t="shared" si="10"/>
        <v>7.2521747112908646</v>
      </c>
      <c r="P118" s="9">
        <f t="shared" si="11"/>
        <v>-0.70292194603367619</v>
      </c>
      <c r="Q118" s="9">
        <f t="shared" si="14"/>
        <v>0.92405489681380149</v>
      </c>
      <c r="R118" s="9">
        <f t="shared" si="14"/>
        <v>0.99929187016050913</v>
      </c>
      <c r="S118" s="9">
        <f t="shared" si="14"/>
        <v>0.33116471345340714</v>
      </c>
      <c r="T118" s="9">
        <f t="shared" si="12"/>
        <v>1.6521313787898795</v>
      </c>
      <c r="U118" s="14">
        <f t="shared" si="15"/>
        <v>8.6960886658727841E-7</v>
      </c>
      <c r="W118" s="14">
        <f t="shared" si="13"/>
        <v>0.2403938194973394</v>
      </c>
      <c r="X118" s="16">
        <f t="shared" si="16"/>
        <v>5.6412108949359441E-2</v>
      </c>
    </row>
    <row r="119" spans="1:24" x14ac:dyDescent="0.3">
      <c r="A119" s="9">
        <v>1</v>
      </c>
      <c r="B119" s="9">
        <v>1</v>
      </c>
      <c r="C119" s="9">
        <v>1</v>
      </c>
      <c r="D119" s="9">
        <v>1</v>
      </c>
      <c r="E119" s="9">
        <v>1</v>
      </c>
      <c r="F119" s="9">
        <v>0.25</v>
      </c>
      <c r="G119" s="9">
        <v>2.0159514911557501</v>
      </c>
      <c r="N119" s="9">
        <f t="shared" si="9"/>
        <v>3.4392632980531705</v>
      </c>
      <c r="O119" s="9">
        <f t="shared" si="10"/>
        <v>7.2315206387315545</v>
      </c>
      <c r="P119" s="9">
        <f t="shared" si="11"/>
        <v>0.24869428846151642</v>
      </c>
      <c r="Q119" s="9">
        <f t="shared" si="14"/>
        <v>0.96890933106663302</v>
      </c>
      <c r="R119" s="9">
        <f t="shared" si="14"/>
        <v>0.9992771029922195</v>
      </c>
      <c r="S119" s="9">
        <f t="shared" si="14"/>
        <v>0.5618550947263945</v>
      </c>
      <c r="T119" s="9">
        <f t="shared" si="12"/>
        <v>2.0160573172519909</v>
      </c>
      <c r="U119" s="14">
        <f t="shared" si="15"/>
        <v>1.1199162645560432E-8</v>
      </c>
      <c r="W119" s="14">
        <f t="shared" si="13"/>
        <v>0.72792858304307262</v>
      </c>
      <c r="X119" s="16">
        <f t="shared" si="16"/>
        <v>5.2494366409629378E-3</v>
      </c>
    </row>
    <row r="120" spans="1:24" x14ac:dyDescent="0.3">
      <c r="A120" s="9">
        <v>2</v>
      </c>
      <c r="B120" s="9">
        <v>0.99805795702633637</v>
      </c>
      <c r="C120" s="9">
        <v>0.99902850661346809</v>
      </c>
      <c r="D120" s="9">
        <v>0.9970883503217095</v>
      </c>
      <c r="E120" s="9">
        <v>0.90500000000000003</v>
      </c>
      <c r="F120" s="9">
        <v>0.25</v>
      </c>
      <c r="G120" s="9">
        <v>1.89959941995096</v>
      </c>
      <c r="N120" s="9">
        <f t="shared" si="9"/>
        <v>3.1272059468280942</v>
      </c>
      <c r="O120" s="9">
        <f t="shared" si="10"/>
        <v>7.2301597148557697</v>
      </c>
      <c r="P120" s="9">
        <f t="shared" si="11"/>
        <v>-6.8034756153004139E-2</v>
      </c>
      <c r="Q120" s="9">
        <f t="shared" si="14"/>
        <v>0.95800111802916066</v>
      </c>
      <c r="R120" s="9">
        <f t="shared" si="14"/>
        <v>0.99927611922731885</v>
      </c>
      <c r="S120" s="9">
        <f t="shared" si="14"/>
        <v>0.48299786864272315</v>
      </c>
      <c r="T120" s="9">
        <f t="shared" si="12"/>
        <v>1.9009024640840881</v>
      </c>
      <c r="U120" s="14">
        <f t="shared" si="15"/>
        <v>1.6979240128795488E-6</v>
      </c>
      <c r="W120" s="14">
        <f t="shared" si="13"/>
        <v>0.54292616662418125</v>
      </c>
      <c r="X120" s="16">
        <f t="shared" si="16"/>
        <v>6.8595732312959665E-2</v>
      </c>
    </row>
    <row r="121" spans="1:24" x14ac:dyDescent="0.3">
      <c r="A121" s="9">
        <v>3</v>
      </c>
      <c r="B121" s="9">
        <v>0.99152490614171707</v>
      </c>
      <c r="C121" s="9">
        <v>0.99575343641973801</v>
      </c>
      <c r="D121" s="9">
        <v>0.98731433258637347</v>
      </c>
      <c r="E121" s="9">
        <v>0.82000000000000006</v>
      </c>
      <c r="F121" s="9">
        <v>0.25</v>
      </c>
      <c r="G121" s="9">
        <v>1.79098509849472</v>
      </c>
      <c r="N121" s="9">
        <f t="shared" si="9"/>
        <v>2.8483379185806381</v>
      </c>
      <c r="O121" s="9">
        <f t="shared" si="10"/>
        <v>7.1831542125749044</v>
      </c>
      <c r="P121" s="9">
        <f t="shared" si="11"/>
        <v>-0.35088278149716778</v>
      </c>
      <c r="Q121" s="9">
        <f t="shared" si="14"/>
        <v>0.94523270406551674</v>
      </c>
      <c r="R121" s="9">
        <f t="shared" si="14"/>
        <v>0.99924130688746282</v>
      </c>
      <c r="S121" s="9">
        <f t="shared" si="14"/>
        <v>0.41316836525078382</v>
      </c>
      <c r="T121" s="9">
        <f t="shared" si="12"/>
        <v>1.7925082448484466</v>
      </c>
      <c r="U121" s="14">
        <f t="shared" si="15"/>
        <v>2.3199748148707415E-6</v>
      </c>
      <c r="W121" s="14">
        <f t="shared" si="13"/>
        <v>0.39466151884543615</v>
      </c>
      <c r="X121" s="16">
        <f t="shared" si="16"/>
        <v>8.5045171788799487E-2</v>
      </c>
    </row>
    <row r="122" spans="1:24" x14ac:dyDescent="0.3">
      <c r="A122" s="9">
        <v>4</v>
      </c>
      <c r="B122" s="9">
        <v>0.97911342554320058</v>
      </c>
      <c r="C122" s="9">
        <v>0.98950160461881032</v>
      </c>
      <c r="D122" s="9">
        <v>0.96883430567881712</v>
      </c>
      <c r="E122" s="9">
        <v>0.74500000000000011</v>
      </c>
      <c r="F122" s="9">
        <v>0.25</v>
      </c>
      <c r="G122" s="9">
        <v>1.69494874850097</v>
      </c>
      <c r="N122" s="9">
        <f t="shared" si="9"/>
        <v>2.6027251126867963</v>
      </c>
      <c r="O122" s="9">
        <f t="shared" si="10"/>
        <v>7.0787451404538153</v>
      </c>
      <c r="P122" s="9">
        <f t="shared" si="11"/>
        <v>-0.59979248065462798</v>
      </c>
      <c r="Q122" s="9">
        <f t="shared" si="14"/>
        <v>0.93103675748142356</v>
      </c>
      <c r="R122" s="9">
        <f t="shared" si="14"/>
        <v>0.99915787964591252</v>
      </c>
      <c r="S122" s="9">
        <f t="shared" si="14"/>
        <v>0.35439117236495682</v>
      </c>
      <c r="T122" s="9">
        <f t="shared" si="12"/>
        <v>1.6941787227685521</v>
      </c>
      <c r="U122" s="14">
        <f t="shared" si="15"/>
        <v>5.9293962858574122E-7</v>
      </c>
      <c r="W122" s="14">
        <f t="shared" si="13"/>
        <v>0.28322041191028857</v>
      </c>
      <c r="X122" s="16">
        <f t="shared" si="16"/>
        <v>4.543062043020063E-2</v>
      </c>
    </row>
    <row r="123" spans="1:24" x14ac:dyDescent="0.3">
      <c r="A123" s="9">
        <v>5</v>
      </c>
      <c r="B123" s="9">
        <v>0.95913394700955001</v>
      </c>
      <c r="C123" s="9">
        <v>0.97935384157593941</v>
      </c>
      <c r="D123" s="9">
        <v>0.93933151558969652</v>
      </c>
      <c r="E123" s="9">
        <v>0.67999999999999994</v>
      </c>
      <c r="F123" s="9">
        <v>0.25</v>
      </c>
      <c r="G123" s="9">
        <v>1.60256221133447</v>
      </c>
      <c r="N123" s="9">
        <f t="shared" si="9"/>
        <v>2.3904206243725774</v>
      </c>
      <c r="O123" s="9">
        <f t="shared" si="10"/>
        <v>6.9021857326057834</v>
      </c>
      <c r="P123" s="9">
        <f t="shared" si="11"/>
        <v>-0.81481738543255844</v>
      </c>
      <c r="Q123" s="9">
        <f t="shared" si="14"/>
        <v>0.91609390541654101</v>
      </c>
      <c r="R123" s="9">
        <f t="shared" si="14"/>
        <v>0.99899542510040162</v>
      </c>
      <c r="S123" s="9">
        <f t="shared" si="14"/>
        <v>0.30686489120885457</v>
      </c>
      <c r="T123" s="9">
        <f t="shared" si="12"/>
        <v>1.6076268067970791</v>
      </c>
      <c r="U123" s="14">
        <f t="shared" si="15"/>
        <v>2.5650127199881477E-5</v>
      </c>
      <c r="W123" s="14">
        <f t="shared" si="13"/>
        <v>0.19342230585318812</v>
      </c>
      <c r="X123" s="16">
        <f t="shared" si="16"/>
        <v>0.31603112982377374</v>
      </c>
    </row>
    <row r="124" spans="1:24" x14ac:dyDescent="0.3">
      <c r="A124" s="9">
        <v>6</v>
      </c>
      <c r="B124" s="9">
        <v>0.92929286340991557</v>
      </c>
      <c r="C124" s="9">
        <v>0.96399837313655024</v>
      </c>
      <c r="D124" s="9">
        <v>0.89583680849456471</v>
      </c>
      <c r="E124" s="9">
        <v>0.625</v>
      </c>
      <c r="F124" s="9">
        <v>0.25</v>
      </c>
      <c r="G124" s="9">
        <v>1.53391569092306</v>
      </c>
      <c r="N124" s="9">
        <f t="shared" si="9"/>
        <v>2.2114372936615134</v>
      </c>
      <c r="O124" s="9">
        <f t="shared" si="10"/>
        <v>6.634651700153178</v>
      </c>
      <c r="P124" s="9">
        <f t="shared" si="11"/>
        <v>-0.99629708061657762</v>
      </c>
      <c r="Q124" s="9">
        <f t="shared" si="14"/>
        <v>0.90127189224157378</v>
      </c>
      <c r="R124" s="9">
        <f t="shared" si="14"/>
        <v>0.99868768808143404</v>
      </c>
      <c r="S124" s="9">
        <f t="shared" si="14"/>
        <v>0.26967008211179827</v>
      </c>
      <c r="T124" s="9">
        <f t="shared" si="12"/>
        <v>1.5337163332092794</v>
      </c>
      <c r="U124" s="14">
        <f t="shared" si="15"/>
        <v>3.9743498043850281E-8</v>
      </c>
      <c r="W124" s="14">
        <f t="shared" si="13"/>
        <v>0.1377534419401483</v>
      </c>
      <c r="X124" s="16">
        <f t="shared" si="16"/>
        <v>1.2996653920443952E-2</v>
      </c>
    </row>
    <row r="125" spans="1:24" x14ac:dyDescent="0.3">
      <c r="A125" s="9">
        <v>7</v>
      </c>
      <c r="B125" s="9">
        <v>0.88629579591014296</v>
      </c>
      <c r="C125" s="9">
        <v>0.94143284195429633</v>
      </c>
      <c r="D125" s="9">
        <v>0.83438796995583142</v>
      </c>
      <c r="E125" s="9">
        <v>0.58000000000000007</v>
      </c>
      <c r="F125" s="9">
        <v>0.25</v>
      </c>
      <c r="G125" s="9">
        <v>1.4709322791038399</v>
      </c>
      <c r="N125" s="9">
        <f t="shared" si="9"/>
        <v>2.0656857517163889</v>
      </c>
      <c r="O125" s="9">
        <f t="shared" si="10"/>
        <v>6.2512214890583291</v>
      </c>
      <c r="P125" s="9">
        <f t="shared" si="11"/>
        <v>-1.1453097087189272</v>
      </c>
      <c r="Q125" s="9">
        <f t="shared" si="14"/>
        <v>0.88752300713835974</v>
      </c>
      <c r="R125" s="9">
        <f t="shared" si="14"/>
        <v>0.99807561285893698</v>
      </c>
      <c r="S125" s="9">
        <f t="shared" si="14"/>
        <v>0.24134682636555119</v>
      </c>
      <c r="T125" s="9">
        <f t="shared" si="12"/>
        <v>1.4730363276258753</v>
      </c>
      <c r="U125" s="14">
        <f t="shared" si="15"/>
        <v>4.4270201830792859E-6</v>
      </c>
      <c r="W125" s="14">
        <f t="shared" si="13"/>
        <v>9.4967575544765023E-2</v>
      </c>
      <c r="X125" s="16">
        <f t="shared" si="16"/>
        <v>0.14304183489108474</v>
      </c>
    </row>
    <row r="126" spans="1:24" x14ac:dyDescent="0.3">
      <c r="A126" s="9">
        <v>8</v>
      </c>
      <c r="B126" s="9">
        <v>0.82493648944805331</v>
      </c>
      <c r="C126" s="9">
        <v>0.90826014414816936</v>
      </c>
      <c r="D126" s="9">
        <v>0.74925693481917366</v>
      </c>
      <c r="E126" s="9">
        <v>0.54499999999999993</v>
      </c>
      <c r="F126" s="9">
        <v>0.25</v>
      </c>
      <c r="G126" s="9">
        <v>1.42745402299771</v>
      </c>
      <c r="N126" s="9">
        <f t="shared" si="9"/>
        <v>1.952817024490648</v>
      </c>
      <c r="O126" s="9">
        <f t="shared" si="10"/>
        <v>5.7164266927769729</v>
      </c>
      <c r="P126" s="9">
        <f t="shared" si="11"/>
        <v>-1.2649893286701834</v>
      </c>
      <c r="Q126" s="9">
        <f t="shared" si="14"/>
        <v>0.87575348492039728</v>
      </c>
      <c r="R126" s="9">
        <f t="shared" si="14"/>
        <v>0.99671934682958152</v>
      </c>
      <c r="S126" s="9">
        <f t="shared" si="14"/>
        <v>0.22011620288827727</v>
      </c>
      <c r="T126" s="9">
        <f t="shared" si="12"/>
        <v>1.426256507794373</v>
      </c>
      <c r="U126" s="14">
        <f t="shared" si="15"/>
        <v>1.4340426622232475E-6</v>
      </c>
      <c r="W126" s="14">
        <f t="shared" si="13"/>
        <v>7.0060711474026732E-2</v>
      </c>
      <c r="X126" s="16">
        <f t="shared" si="16"/>
        <v>8.3891682957477468E-2</v>
      </c>
    </row>
    <row r="127" spans="1:24" x14ac:dyDescent="0.3">
      <c r="A127" s="9">
        <v>9</v>
      </c>
      <c r="B127" s="9">
        <v>0.73549094564436945</v>
      </c>
      <c r="C127" s="9">
        <v>0.85760768749141325</v>
      </c>
      <c r="D127" s="9">
        <v>0.63076268906494071</v>
      </c>
      <c r="E127" s="9">
        <v>0.52</v>
      </c>
      <c r="F127" s="9">
        <v>0.25</v>
      </c>
      <c r="G127" s="9">
        <v>1.3945027819903</v>
      </c>
      <c r="N127" s="9">
        <f t="shared" si="9"/>
        <v>1.871722164511745</v>
      </c>
      <c r="O127" s="9">
        <f t="shared" si="10"/>
        <v>4.9721245438117245</v>
      </c>
      <c r="P127" s="9">
        <f t="shared" si="11"/>
        <v>-1.3652679000072991</v>
      </c>
      <c r="Q127" s="9">
        <f t="shared" si="14"/>
        <v>0.86665742051924932</v>
      </c>
      <c r="R127" s="9">
        <f t="shared" si="14"/>
        <v>0.99311925993558803</v>
      </c>
      <c r="S127" s="9">
        <f t="shared" si="14"/>
        <v>0.20338546434972957</v>
      </c>
      <c r="T127" s="9">
        <f t="shared" si="12"/>
        <v>1.3947282469609905</v>
      </c>
      <c r="U127" s="14">
        <f t="shared" si="15"/>
        <v>5.0834453008484483E-8</v>
      </c>
      <c r="W127" s="14">
        <f t="shared" si="13"/>
        <v>5.3702778328537586E-2</v>
      </c>
      <c r="X127" s="16">
        <f t="shared" si="16"/>
        <v>1.6168126274279802E-2</v>
      </c>
    </row>
    <row r="128" spans="1:24" x14ac:dyDescent="0.3">
      <c r="A128" s="9">
        <v>10</v>
      </c>
      <c r="B128" s="9">
        <v>0.592782777626775</v>
      </c>
      <c r="C128" s="9">
        <v>0.76992387781310878</v>
      </c>
      <c r="D128" s="9">
        <v>0.45639761485123242</v>
      </c>
      <c r="E128" s="9">
        <v>0.50499999999999989</v>
      </c>
      <c r="F128" s="9">
        <v>0.25</v>
      </c>
      <c r="G128" s="9">
        <v>1.38425056642525</v>
      </c>
      <c r="N128" s="9">
        <f t="shared" si="9"/>
        <v>1.8180672870869425</v>
      </c>
      <c r="O128" s="9">
        <f t="shared" si="10"/>
        <v>3.8914112280041269</v>
      </c>
      <c r="P128" s="9">
        <f t="shared" si="11"/>
        <v>-1.4890606936446167</v>
      </c>
      <c r="Q128" s="9">
        <f t="shared" si="14"/>
        <v>0.8603340551671258</v>
      </c>
      <c r="R128" s="9">
        <f t="shared" si="14"/>
        <v>0.97999198065139614</v>
      </c>
      <c r="S128" s="9">
        <f t="shared" si="14"/>
        <v>0.18406275402094041</v>
      </c>
      <c r="T128" s="9">
        <f t="shared" si="12"/>
        <v>1.3846303972609384</v>
      </c>
      <c r="U128" s="14">
        <f t="shared" si="15"/>
        <v>1.4427146373973105E-7</v>
      </c>
      <c r="W128" s="14">
        <f t="shared" si="13"/>
        <v>4.9056218106403163E-2</v>
      </c>
      <c r="X128" s="16">
        <f t="shared" si="16"/>
        <v>2.7439456764628188E-2</v>
      </c>
    </row>
    <row r="129" spans="1:24" x14ac:dyDescent="0.3">
      <c r="A129" s="9">
        <v>11</v>
      </c>
      <c r="B129" s="9">
        <v>0.99798365800029631</v>
      </c>
      <c r="C129" s="9">
        <v>0.99899132028276216</v>
      </c>
      <c r="D129" s="9">
        <v>0.99697701212633671</v>
      </c>
      <c r="E129" s="9">
        <v>0.81</v>
      </c>
      <c r="F129" s="9">
        <v>0.25</v>
      </c>
      <c r="G129" s="9">
        <v>1.77839471955508</v>
      </c>
      <c r="N129" s="9">
        <f t="shared" si="9"/>
        <v>2.8150131377628109</v>
      </c>
      <c r="O129" s="9">
        <f t="shared" si="10"/>
        <v>7.2466860091312304</v>
      </c>
      <c r="P129" s="9">
        <f t="shared" si="11"/>
        <v>-0.38498308035823037</v>
      </c>
      <c r="Q129" s="9">
        <f t="shared" si="14"/>
        <v>0.94348173458188223</v>
      </c>
      <c r="R129" s="9">
        <f t="shared" si="14"/>
        <v>0.99928797553572457</v>
      </c>
      <c r="S129" s="9">
        <f t="shared" si="14"/>
        <v>0.40492560309872327</v>
      </c>
      <c r="T129" s="9">
        <f t="shared" si="12"/>
        <v>1.7791049007957302</v>
      </c>
      <c r="U129" s="14">
        <f t="shared" si="15"/>
        <v>5.0435739457153381E-7</v>
      </c>
      <c r="W129" s="14">
        <f t="shared" si="13"/>
        <v>0.37900095771589204</v>
      </c>
      <c r="X129" s="16">
        <f t="shared" si="16"/>
        <v>3.9933836557270452E-2</v>
      </c>
    </row>
    <row r="130" spans="1:24" x14ac:dyDescent="0.3">
      <c r="A130" s="9">
        <v>12</v>
      </c>
      <c r="B130" s="9">
        <v>0.99082969587065506</v>
      </c>
      <c r="C130" s="9">
        <v>0.99540428764932243</v>
      </c>
      <c r="D130" s="9">
        <v>0.98627612759992478</v>
      </c>
      <c r="E130" s="9">
        <v>0.64000000000000012</v>
      </c>
      <c r="F130" s="9">
        <v>0.25</v>
      </c>
      <c r="G130" s="9">
        <v>1.55140299735233</v>
      </c>
      <c r="N130" s="9">
        <f t="shared" ref="N130:N193" si="17">B130*$I$1+C130*$J$1+D130*$K$1+E130*$L$1+F130*$M$1+$I$4</f>
        <v>2.2568536437221849</v>
      </c>
      <c r="O130" s="9">
        <f t="shared" ref="O130:O193" si="18">$I$2*B130+$J$2*C130+$K$2*D130+$L$2*E130+$M$2*F130+$I$5</f>
        <v>7.2091838237046515</v>
      </c>
      <c r="P130" s="9">
        <f t="shared" ref="P130:P193" si="19">$I$3*B130+$J$3*C130+$K$3*D130+$L$3*E130+$M$3*F130+$I$6</f>
        <v>-0.95135558245576579</v>
      </c>
      <c r="Q130" s="9">
        <f t="shared" si="14"/>
        <v>0.9052400790124473</v>
      </c>
      <c r="R130" s="9">
        <f t="shared" si="14"/>
        <v>0.99926078615706715</v>
      </c>
      <c r="S130" s="9">
        <f t="shared" si="14"/>
        <v>0.27861228512671327</v>
      </c>
      <c r="T130" s="9">
        <f t="shared" ref="T130:T193" si="20">$I$7*Q130+$J$7*R130+$K$7*S130+$I$8</f>
        <v>1.5513517151409668</v>
      </c>
      <c r="U130" s="14">
        <f t="shared" si="15"/>
        <v>2.6298652022989507E-9</v>
      </c>
      <c r="W130" s="14">
        <f t="shared" ref="W130:W193" si="21">(G130-$V$4)^2</f>
        <v>0.15104012813279383</v>
      </c>
      <c r="X130" s="16">
        <f t="shared" si="16"/>
        <v>3.3055377262200918E-3</v>
      </c>
    </row>
    <row r="131" spans="1:24" x14ac:dyDescent="0.3">
      <c r="A131" s="9">
        <v>13</v>
      </c>
      <c r="B131" s="9">
        <v>0.97635838312361378</v>
      </c>
      <c r="C131" s="9">
        <v>0.98810848752736347</v>
      </c>
      <c r="D131" s="9">
        <v>0.96474800523293669</v>
      </c>
      <c r="E131" s="9">
        <v>0.49</v>
      </c>
      <c r="F131" s="9">
        <v>0.25</v>
      </c>
      <c r="G131" s="9">
        <v>1.33969653593936</v>
      </c>
      <c r="N131" s="9">
        <f t="shared" si="17"/>
        <v>1.7649052052250143</v>
      </c>
      <c r="O131" s="9">
        <f t="shared" si="18"/>
        <v>7.0989215871890412</v>
      </c>
      <c r="P131" s="9">
        <f t="shared" si="19"/>
        <v>-1.4502966138621636</v>
      </c>
      <c r="Q131" s="9">
        <f t="shared" ref="Q131:S194" si="22">1/(1+EXP(-N131))</f>
        <v>0.85382293872727422</v>
      </c>
      <c r="R131" s="9">
        <f t="shared" si="22"/>
        <v>0.99917468649805097</v>
      </c>
      <c r="S131" s="9">
        <f t="shared" si="22"/>
        <v>0.18995592105131706</v>
      </c>
      <c r="T131" s="9">
        <f t="shared" si="20"/>
        <v>1.3403332658049267</v>
      </c>
      <c r="U131" s="14">
        <f t="shared" ref="U131:U194" si="23">(G131-T131)^2</f>
        <v>4.0542492170462855E-7</v>
      </c>
      <c r="W131" s="14">
        <f t="shared" si="21"/>
        <v>3.1305057567469555E-2</v>
      </c>
      <c r="X131" s="16">
        <f t="shared" ref="X131:X194" si="24">100*ABS((T131-G131)/G131)</f>
        <v>4.7527917590700769E-2</v>
      </c>
    </row>
    <row r="132" spans="1:24" x14ac:dyDescent="0.3">
      <c r="A132" s="9">
        <v>14</v>
      </c>
      <c r="B132" s="9">
        <v>0.95144310139704413</v>
      </c>
      <c r="C132" s="9">
        <v>0.97541944895365096</v>
      </c>
      <c r="D132" s="9">
        <v>0.92805610567545749</v>
      </c>
      <c r="E132" s="9">
        <v>0.35999999999999988</v>
      </c>
      <c r="F132" s="9">
        <v>0.25</v>
      </c>
      <c r="G132" s="9">
        <v>1.14523955414801</v>
      </c>
      <c r="N132" s="9">
        <f t="shared" si="17"/>
        <v>1.3392816305817086</v>
      </c>
      <c r="O132" s="9">
        <f t="shared" si="18"/>
        <v>6.8882858998172214</v>
      </c>
      <c r="P132" s="9">
        <f t="shared" si="19"/>
        <v>-1.8818536522609159</v>
      </c>
      <c r="Q132" s="9">
        <f t="shared" si="22"/>
        <v>0.79237178103004624</v>
      </c>
      <c r="R132" s="9">
        <f t="shared" si="22"/>
        <v>0.9989813785042031</v>
      </c>
      <c r="S132" s="9">
        <f t="shared" si="22"/>
        <v>0.13217610427224019</v>
      </c>
      <c r="T132" s="9">
        <f t="shared" si="20"/>
        <v>1.1447571501993297</v>
      </c>
      <c r="U132" s="14">
        <f t="shared" si="23"/>
        <v>2.3271356970241944E-7</v>
      </c>
      <c r="W132" s="14">
        <f t="shared" si="21"/>
        <v>3.0711261136728884E-4</v>
      </c>
      <c r="X132" s="16">
        <f t="shared" si="24"/>
        <v>4.2122536453891204E-2</v>
      </c>
    </row>
    <row r="133" spans="1:24" x14ac:dyDescent="0.3">
      <c r="A133" s="9">
        <v>15</v>
      </c>
      <c r="B133" s="9">
        <v>0.91157954485698101</v>
      </c>
      <c r="C133" s="9">
        <v>0.95476674892718227</v>
      </c>
      <c r="D133" s="9">
        <v>0.87034583843162083</v>
      </c>
      <c r="E133" s="9">
        <v>0.25</v>
      </c>
      <c r="F133" s="9">
        <v>0.25</v>
      </c>
      <c r="G133" s="9">
        <v>0.96724534370702497</v>
      </c>
      <c r="N133" s="9">
        <f t="shared" si="17"/>
        <v>0.98001399276932044</v>
      </c>
      <c r="O133" s="9">
        <f t="shared" si="18"/>
        <v>6.5401700802869174</v>
      </c>
      <c r="P133" s="9">
        <f t="shared" si="19"/>
        <v>-2.2467041830907606</v>
      </c>
      <c r="Q133" s="9">
        <f t="shared" si="22"/>
        <v>0.72711099280359437</v>
      </c>
      <c r="R133" s="9">
        <f t="shared" si="22"/>
        <v>0.99855783998837855</v>
      </c>
      <c r="S133" s="9">
        <f t="shared" si="22"/>
        <v>9.5634134684295574E-2</v>
      </c>
      <c r="T133" s="9">
        <f t="shared" si="20"/>
        <v>0.96656333199127253</v>
      </c>
      <c r="U133" s="14">
        <f t="shared" si="23"/>
        <v>4.6513998042358659E-7</v>
      </c>
      <c r="W133" s="14">
        <f t="shared" si="21"/>
        <v>3.8227616462323241E-2</v>
      </c>
      <c r="X133" s="16">
        <f t="shared" si="24"/>
        <v>7.0510726176110552E-2</v>
      </c>
    </row>
    <row r="134" spans="1:24" x14ac:dyDescent="0.3">
      <c r="A134" s="9">
        <v>16</v>
      </c>
      <c r="B134" s="9">
        <v>0.85026083486688353</v>
      </c>
      <c r="C134" s="9">
        <v>0.92209589244659562</v>
      </c>
      <c r="D134" s="9">
        <v>0.78402202333896664</v>
      </c>
      <c r="E134" s="9">
        <v>0.15999999999999992</v>
      </c>
      <c r="F134" s="9">
        <v>0.25</v>
      </c>
      <c r="G134" s="9">
        <v>0.81531877903806005</v>
      </c>
      <c r="N134" s="9">
        <f t="shared" si="17"/>
        <v>0.68683672104190785</v>
      </c>
      <c r="O134" s="9">
        <f t="shared" si="18"/>
        <v>6.0070359022325075</v>
      </c>
      <c r="P134" s="9">
        <f t="shared" si="19"/>
        <v>-2.5475787547648103</v>
      </c>
      <c r="Q134" s="9">
        <f t="shared" si="22"/>
        <v>0.66526287055471811</v>
      </c>
      <c r="R134" s="9">
        <f t="shared" si="22"/>
        <v>0.99754467035338801</v>
      </c>
      <c r="S134" s="9">
        <f t="shared" si="22"/>
        <v>7.2589315262097567E-2</v>
      </c>
      <c r="T134" s="9">
        <f t="shared" si="20"/>
        <v>0.81246177363057259</v>
      </c>
      <c r="U134" s="14">
        <f t="shared" si="23"/>
        <v>8.1624798984125659E-6</v>
      </c>
      <c r="W134" s="14">
        <f t="shared" si="21"/>
        <v>0.12071830863449652</v>
      </c>
      <c r="X134" s="16">
        <f t="shared" si="24"/>
        <v>0.35041574914516815</v>
      </c>
    </row>
    <row r="135" spans="1:24" x14ac:dyDescent="0.3">
      <c r="A135" s="9">
        <v>17</v>
      </c>
      <c r="B135" s="9">
        <v>0.75804016693539389</v>
      </c>
      <c r="C135" s="9">
        <v>0.87065502177119147</v>
      </c>
      <c r="D135" s="9">
        <v>0.65999147804657321</v>
      </c>
      <c r="E135" s="9">
        <v>9.000000000000008E-2</v>
      </c>
      <c r="F135" s="9">
        <v>0.25</v>
      </c>
      <c r="G135" s="9">
        <v>0.693889927328734</v>
      </c>
      <c r="N135" s="9">
        <f t="shared" si="17"/>
        <v>0.45859527268459044</v>
      </c>
      <c r="O135" s="9">
        <f t="shared" si="18"/>
        <v>5.2342265320944561</v>
      </c>
      <c r="P135" s="9">
        <f t="shared" si="19"/>
        <v>-2.793982848952381</v>
      </c>
      <c r="Q135" s="9">
        <f t="shared" si="22"/>
        <v>0.61268088291747236</v>
      </c>
      <c r="R135" s="9">
        <f t="shared" si="22"/>
        <v>0.99469732208530659</v>
      </c>
      <c r="S135" s="9">
        <f t="shared" si="22"/>
        <v>5.7650198824102807E-2</v>
      </c>
      <c r="T135" s="9">
        <f t="shared" si="20"/>
        <v>0.69079333331465409</v>
      </c>
      <c r="U135" s="14">
        <f t="shared" si="23"/>
        <v>9.5888944880355416E-6</v>
      </c>
      <c r="W135" s="14">
        <f t="shared" si="21"/>
        <v>0.21984306749663274</v>
      </c>
      <c r="X135" s="16">
        <f t="shared" si="24"/>
        <v>0.44626588340903872</v>
      </c>
    </row>
    <row r="136" spans="1:24" x14ac:dyDescent="0.3">
      <c r="A136" s="9">
        <v>18</v>
      </c>
      <c r="B136" s="9">
        <v>0.62081341767015485</v>
      </c>
      <c r="C136" s="9">
        <v>0.78791713883514092</v>
      </c>
      <c r="D136" s="9">
        <v>0.48914953180113391</v>
      </c>
      <c r="E136" s="9">
        <v>4.0000000000000036E-2</v>
      </c>
      <c r="F136" s="9">
        <v>0.25</v>
      </c>
      <c r="G136" s="9">
        <v>0.61378170678354205</v>
      </c>
      <c r="N136" s="9">
        <f t="shared" si="17"/>
        <v>0.29146414989335945</v>
      </c>
      <c r="O136" s="9">
        <f t="shared" si="18"/>
        <v>4.1767150972538678</v>
      </c>
      <c r="P136" s="9">
        <f t="shared" si="19"/>
        <v>-3.0200882931215149</v>
      </c>
      <c r="Q136" s="9">
        <f t="shared" si="22"/>
        <v>0.57235454322193413</v>
      </c>
      <c r="R136" s="9">
        <f t="shared" si="22"/>
        <v>0.98488318138864994</v>
      </c>
      <c r="S136" s="9">
        <f t="shared" si="22"/>
        <v>4.6526557512841564E-2</v>
      </c>
      <c r="T136" s="9">
        <f t="shared" si="20"/>
        <v>0.61283479811151875</v>
      </c>
      <c r="U136" s="14">
        <f t="shared" si="23"/>
        <v>8.9663603315291896E-7</v>
      </c>
      <c r="W136" s="14">
        <f t="shared" si="21"/>
        <v>0.30138175903509745</v>
      </c>
      <c r="X136" s="16">
        <f t="shared" si="24"/>
        <v>0.15427450208405019</v>
      </c>
    </row>
    <row r="137" spans="1:24" x14ac:dyDescent="0.3">
      <c r="A137" s="9">
        <v>19</v>
      </c>
      <c r="B137" s="9">
        <v>0.41411550520763146</v>
      </c>
      <c r="C137" s="9">
        <v>0.64351806906071529</v>
      </c>
      <c r="D137" s="9">
        <v>0.26649081027931787</v>
      </c>
      <c r="E137" s="9">
        <v>1.0000000000000009E-2</v>
      </c>
      <c r="F137" s="9">
        <v>0.25</v>
      </c>
      <c r="G137" s="9">
        <v>0.61035631735616402</v>
      </c>
      <c r="N137" s="9">
        <f t="shared" si="17"/>
        <v>0.17175077027226424</v>
      </c>
      <c r="O137" s="9">
        <f t="shared" si="18"/>
        <v>2.8653227508309436</v>
      </c>
      <c r="P137" s="9">
        <f t="shared" si="19"/>
        <v>-3.37737159463724</v>
      </c>
      <c r="Q137" s="9">
        <f t="shared" si="22"/>
        <v>0.54283245381888723</v>
      </c>
      <c r="R137" s="9">
        <f t="shared" si="22"/>
        <v>0.9461053520113909</v>
      </c>
      <c r="S137" s="9">
        <f t="shared" si="22"/>
        <v>3.3010191957839365E-2</v>
      </c>
      <c r="T137" s="9">
        <f t="shared" si="20"/>
        <v>0.61141273364090565</v>
      </c>
      <c r="U137" s="14">
        <f t="shared" si="23"/>
        <v>1.1160153666672951E-6</v>
      </c>
      <c r="W137" s="14">
        <f t="shared" si="21"/>
        <v>0.30515444986653828</v>
      </c>
      <c r="X137" s="16">
        <f t="shared" si="24"/>
        <v>0.17308189572242408</v>
      </c>
    </row>
    <row r="138" spans="1:24" x14ac:dyDescent="0.3">
      <c r="A138" s="9">
        <v>20</v>
      </c>
      <c r="B138" s="9">
        <v>0.6046213212551188</v>
      </c>
      <c r="C138" s="9">
        <v>0.77757399728586529</v>
      </c>
      <c r="D138" s="9">
        <v>0.47013781761260415</v>
      </c>
      <c r="E138" s="9">
        <v>0.13</v>
      </c>
      <c r="F138" s="9">
        <v>0.25</v>
      </c>
      <c r="G138" s="9">
        <v>0.78138342627777901</v>
      </c>
      <c r="N138" s="9">
        <f t="shared" si="17"/>
        <v>0.58639363898707941</v>
      </c>
      <c r="O138" s="9">
        <f t="shared" si="18"/>
        <v>4.0435582809067778</v>
      </c>
      <c r="P138" s="9">
        <f t="shared" si="19"/>
        <v>-2.7311766908964641</v>
      </c>
      <c r="Q138" s="9">
        <f t="shared" si="22"/>
        <v>0.64253725187092903</v>
      </c>
      <c r="R138" s="9">
        <f t="shared" si="22"/>
        <v>0.98276720947460905</v>
      </c>
      <c r="S138" s="9">
        <f t="shared" si="22"/>
        <v>6.1158564454516187E-2</v>
      </c>
      <c r="T138" s="9">
        <f t="shared" si="20"/>
        <v>0.78061107415763165</v>
      </c>
      <c r="U138" s="14">
        <f t="shared" si="23"/>
        <v>5.9652779749613468E-7</v>
      </c>
      <c r="W138" s="14">
        <f t="shared" si="21"/>
        <v>0.14545128148848926</v>
      </c>
      <c r="X138" s="16">
        <f t="shared" si="24"/>
        <v>9.8844190211016814E-2</v>
      </c>
    </row>
    <row r="139" spans="1:24" x14ac:dyDescent="0.3">
      <c r="A139" s="9">
        <v>21</v>
      </c>
      <c r="B139" s="9">
        <v>0.5360450892996631</v>
      </c>
      <c r="C139" s="9">
        <v>0.73215100170638503</v>
      </c>
      <c r="D139" s="9">
        <v>0.39246594909053695</v>
      </c>
      <c r="E139" s="9">
        <v>3.6250000000000004E-2</v>
      </c>
      <c r="F139" s="9">
        <v>0.25</v>
      </c>
      <c r="G139" s="9">
        <v>0.61888494929862004</v>
      </c>
      <c r="N139" s="9">
        <f t="shared" si="17"/>
        <v>0.2733755939078728</v>
      </c>
      <c r="O139" s="9">
        <f t="shared" si="18"/>
        <v>3.5895297103884602</v>
      </c>
      <c r="P139" s="9">
        <f t="shared" si="19"/>
        <v>-3.1057880247377776</v>
      </c>
      <c r="Q139" s="9">
        <f t="shared" si="22"/>
        <v>0.56792141992110867</v>
      </c>
      <c r="R139" s="9">
        <f t="shared" si="22"/>
        <v>0.97313058707800459</v>
      </c>
      <c r="S139" s="9">
        <f t="shared" si="22"/>
        <v>4.2869134970327204E-2</v>
      </c>
      <c r="T139" s="9">
        <f t="shared" si="20"/>
        <v>0.62234036947294902</v>
      </c>
      <c r="U139" s="14">
        <f t="shared" si="23"/>
        <v>1.1939928581159736E-5</v>
      </c>
      <c r="W139" s="14">
        <f t="shared" si="21"/>
        <v>0.29580462069540947</v>
      </c>
      <c r="X139" s="16">
        <f t="shared" si="24"/>
        <v>0.55832997364776726</v>
      </c>
    </row>
    <row r="140" spans="1:24" x14ac:dyDescent="0.3">
      <c r="A140" s="9">
        <v>22</v>
      </c>
      <c r="B140" s="9">
        <v>0.482056160699321</v>
      </c>
      <c r="C140" s="9">
        <v>0.69430264344831716</v>
      </c>
      <c r="D140" s="9">
        <v>0.33469286666408549</v>
      </c>
      <c r="E140" s="9">
        <v>1.8888888888888844E-2</v>
      </c>
      <c r="F140" s="9">
        <v>0.25</v>
      </c>
      <c r="G140" s="9">
        <v>0.60393581907030702</v>
      </c>
      <c r="N140" s="9">
        <f t="shared" si="17"/>
        <v>0.21068059768697159</v>
      </c>
      <c r="O140" s="9">
        <f t="shared" si="18"/>
        <v>3.2512768307808031</v>
      </c>
      <c r="P140" s="9">
        <f t="shared" si="19"/>
        <v>-3.231339737228625</v>
      </c>
      <c r="Q140" s="9">
        <f t="shared" si="22"/>
        <v>0.5524761908034761</v>
      </c>
      <c r="R140" s="9">
        <f t="shared" si="22"/>
        <v>0.96271896667596724</v>
      </c>
      <c r="S140" s="9">
        <f t="shared" si="22"/>
        <v>3.8003237301889974E-2</v>
      </c>
      <c r="T140" s="9">
        <f t="shared" si="20"/>
        <v>0.60481648546223443</v>
      </c>
      <c r="U140" s="14">
        <f t="shared" si="23"/>
        <v>7.7557329387044137E-7</v>
      </c>
      <c r="W140" s="14">
        <f t="shared" si="21"/>
        <v>0.31228914017185344</v>
      </c>
      <c r="X140" s="16">
        <f t="shared" si="24"/>
        <v>0.14582118896062476</v>
      </c>
    </row>
    <row r="141" spans="1:24" x14ac:dyDescent="0.3">
      <c r="A141" s="9">
        <v>23</v>
      </c>
      <c r="B141" s="9">
        <v>0.44329834371454524</v>
      </c>
      <c r="C141" s="9">
        <v>0.66580653625099329</v>
      </c>
      <c r="D141" s="9">
        <v>0.29515093475438386</v>
      </c>
      <c r="E141" s="9">
        <v>1.2812500000000004E-2</v>
      </c>
      <c r="F141" s="9">
        <v>0.25</v>
      </c>
      <c r="G141" s="9">
        <v>0.61250502846739097</v>
      </c>
      <c r="N141" s="9">
        <f t="shared" si="17"/>
        <v>0.18555884901628442</v>
      </c>
      <c r="O141" s="9">
        <f t="shared" si="18"/>
        <v>3.0251277364190434</v>
      </c>
      <c r="P141" s="9">
        <f t="shared" si="19"/>
        <v>-3.3131133054755102</v>
      </c>
      <c r="Q141" s="9">
        <f t="shared" si="22"/>
        <v>0.5462570610990729</v>
      </c>
      <c r="R141" s="9">
        <f t="shared" si="22"/>
        <v>0.95369649125402178</v>
      </c>
      <c r="S141" s="9">
        <f t="shared" si="22"/>
        <v>3.5124055332738997E-2</v>
      </c>
      <c r="T141" s="9">
        <f t="shared" si="20"/>
        <v>0.60615315138810277</v>
      </c>
      <c r="U141" s="14">
        <f t="shared" si="23"/>
        <v>4.0346342430386702E-5</v>
      </c>
      <c r="W141" s="14">
        <f t="shared" si="21"/>
        <v>0.30278513698891868</v>
      </c>
      <c r="X141" s="16">
        <f t="shared" si="24"/>
        <v>1.037032642031013</v>
      </c>
    </row>
    <row r="142" spans="1:24" x14ac:dyDescent="0.3">
      <c r="A142" s="9">
        <v>24</v>
      </c>
      <c r="B142" s="9">
        <v>0.75641498946707786</v>
      </c>
      <c r="C142" s="9">
        <v>0.86972121364669375</v>
      </c>
      <c r="D142" s="9">
        <v>0.65787016265985809</v>
      </c>
      <c r="E142" s="9">
        <v>0.24222222222222223</v>
      </c>
      <c r="F142" s="9">
        <v>0.25</v>
      </c>
      <c r="G142" s="9">
        <v>0.96497363218492604</v>
      </c>
      <c r="N142" s="9">
        <f t="shared" si="17"/>
        <v>0.95884986450826026</v>
      </c>
      <c r="O142" s="9">
        <f t="shared" si="18"/>
        <v>5.1932301763555264</v>
      </c>
      <c r="P142" s="9">
        <f t="shared" si="19"/>
        <v>-2.2864963544056591</v>
      </c>
      <c r="Q142" s="9">
        <f t="shared" si="22"/>
        <v>0.722891469754254</v>
      </c>
      <c r="R142" s="9">
        <f t="shared" si="22"/>
        <v>0.99447663966103073</v>
      </c>
      <c r="S142" s="9">
        <f t="shared" si="22"/>
        <v>9.2247519064175471E-2</v>
      </c>
      <c r="T142" s="9">
        <f t="shared" si="20"/>
        <v>0.96179065755110726</v>
      </c>
      <c r="U142" s="14">
        <f t="shared" si="23"/>
        <v>1.0131327519533799E-5</v>
      </c>
      <c r="W142" s="14">
        <f t="shared" si="21"/>
        <v>3.9121101934929008E-2</v>
      </c>
      <c r="X142" s="16">
        <f t="shared" si="24"/>
        <v>0.32985094386587344</v>
      </c>
    </row>
    <row r="143" spans="1:24" x14ac:dyDescent="0.3">
      <c r="A143" s="9">
        <v>25</v>
      </c>
      <c r="B143" s="9">
        <v>0.84330333318766382</v>
      </c>
      <c r="C143" s="9">
        <v>0.91831548674062113</v>
      </c>
      <c r="D143" s="9">
        <v>0.77441851088621827</v>
      </c>
      <c r="E143" s="9">
        <v>0.32624999999999993</v>
      </c>
      <c r="F143" s="9">
        <v>0.25</v>
      </c>
      <c r="G143" s="9">
        <v>1.0961531118462</v>
      </c>
      <c r="N143" s="9">
        <f t="shared" si="17"/>
        <v>1.2334101431100044</v>
      </c>
      <c r="O143" s="9">
        <f t="shared" si="18"/>
        <v>5.9158534295569485</v>
      </c>
      <c r="P143" s="9">
        <f t="shared" si="19"/>
        <v>-1.9933242951648733</v>
      </c>
      <c r="Q143" s="9">
        <f t="shared" si="22"/>
        <v>0.77441487169458278</v>
      </c>
      <c r="R143" s="9">
        <f t="shared" si="22"/>
        <v>0.99731089312861543</v>
      </c>
      <c r="S143" s="9">
        <f t="shared" si="22"/>
        <v>0.11990561189836921</v>
      </c>
      <c r="T143" s="9">
        <f t="shared" si="20"/>
        <v>1.0961768815389643</v>
      </c>
      <c r="U143" s="14">
        <f t="shared" si="23"/>
        <v>5.6499829410908219E-10</v>
      </c>
      <c r="W143" s="14">
        <f t="shared" si="21"/>
        <v>4.4370347811272864E-3</v>
      </c>
      <c r="X143" s="16">
        <f t="shared" si="24"/>
        <v>2.1684646521928854E-3</v>
      </c>
    </row>
    <row r="144" spans="1:24" x14ac:dyDescent="0.3">
      <c r="A144" s="9">
        <v>26</v>
      </c>
      <c r="B144" s="9">
        <v>0.82722243711388821</v>
      </c>
      <c r="C144" s="9">
        <v>0.90951769477778055</v>
      </c>
      <c r="D144" s="9">
        <v>0.75237344407228135</v>
      </c>
      <c r="E144" s="9">
        <v>0.17000000000000004</v>
      </c>
      <c r="F144" s="9">
        <v>0.25</v>
      </c>
      <c r="G144" s="9">
        <v>0.82909421362862101</v>
      </c>
      <c r="N144" s="9">
        <f t="shared" si="17"/>
        <v>0.72039538586386553</v>
      </c>
      <c r="O144" s="9">
        <f t="shared" si="18"/>
        <v>5.804243165231199</v>
      </c>
      <c r="P144" s="9">
        <f t="shared" si="19"/>
        <v>-2.5159166994999849</v>
      </c>
      <c r="Q144" s="9">
        <f t="shared" si="22"/>
        <v>0.67269407778787693</v>
      </c>
      <c r="R144" s="9">
        <f t="shared" si="22"/>
        <v>0.99699432576638602</v>
      </c>
      <c r="S144" s="9">
        <f t="shared" si="22"/>
        <v>7.4749865790088493E-2</v>
      </c>
      <c r="T144" s="9">
        <f t="shared" si="20"/>
        <v>0.83158247799576912</v>
      </c>
      <c r="U144" s="14">
        <f t="shared" si="23"/>
        <v>6.1914595608189722E-6</v>
      </c>
      <c r="W144" s="14">
        <f t="shared" si="21"/>
        <v>0.11133564836447389</v>
      </c>
      <c r="X144" s="16">
        <f t="shared" si="24"/>
        <v>0.3001184094938919</v>
      </c>
    </row>
    <row r="145" spans="1:24" x14ac:dyDescent="0.3">
      <c r="A145" s="9">
        <v>27</v>
      </c>
      <c r="B145" s="9">
        <v>0.79294453563825062</v>
      </c>
      <c r="C145" s="9">
        <v>0.8904743318244781</v>
      </c>
      <c r="D145" s="9">
        <v>0.70609675554634266</v>
      </c>
      <c r="E145" s="9">
        <v>0.11531250000000004</v>
      </c>
      <c r="F145" s="9">
        <v>0.25</v>
      </c>
      <c r="G145" s="9">
        <v>0.73625005088371298</v>
      </c>
      <c r="N145" s="9">
        <f t="shared" si="17"/>
        <v>0.54141342245535151</v>
      </c>
      <c r="O145" s="9">
        <f t="shared" si="18"/>
        <v>5.5209062637382544</v>
      </c>
      <c r="P145" s="9">
        <f t="shared" si="19"/>
        <v>-2.7026765218276463</v>
      </c>
      <c r="Q145" s="9">
        <f t="shared" si="22"/>
        <v>0.6321411545218798</v>
      </c>
      <c r="R145" s="9">
        <f t="shared" si="22"/>
        <v>0.99601373467585175</v>
      </c>
      <c r="S145" s="9">
        <f t="shared" si="22"/>
        <v>6.2815605243625158E-2</v>
      </c>
      <c r="T145" s="9">
        <f t="shared" si="20"/>
        <v>0.73488130366751259</v>
      </c>
      <c r="U145" s="14">
        <f t="shared" si="23"/>
        <v>1.8734689418563292E-6</v>
      </c>
      <c r="W145" s="14">
        <f t="shared" si="21"/>
        <v>0.18191430477242351</v>
      </c>
      <c r="X145" s="16">
        <f t="shared" si="24"/>
        <v>0.18590792823138033</v>
      </c>
    </row>
    <row r="146" spans="1:24" x14ac:dyDescent="0.3">
      <c r="A146" s="9">
        <v>28</v>
      </c>
      <c r="B146" s="9">
        <v>0.72336966320800022</v>
      </c>
      <c r="C146" s="9">
        <v>0.8505114127441209</v>
      </c>
      <c r="D146" s="9">
        <v>0.61523415419127547</v>
      </c>
      <c r="E146" s="9">
        <v>9.9999999999999978E-2</v>
      </c>
      <c r="F146" s="9">
        <v>0.25</v>
      </c>
      <c r="G146" s="9">
        <v>0.712568723736414</v>
      </c>
      <c r="N146" s="9">
        <f t="shared" si="17"/>
        <v>0.49141459749749838</v>
      </c>
      <c r="O146" s="9">
        <f t="shared" si="18"/>
        <v>4.9507470785362386</v>
      </c>
      <c r="P146" s="9">
        <f t="shared" si="19"/>
        <v>-2.7702762872038287</v>
      </c>
      <c r="Q146" s="9">
        <f t="shared" si="22"/>
        <v>0.6204396186986586</v>
      </c>
      <c r="R146" s="9">
        <f t="shared" si="22"/>
        <v>0.99297162860689114</v>
      </c>
      <c r="S146" s="9">
        <f t="shared" si="22"/>
        <v>5.8951684182154962E-2</v>
      </c>
      <c r="T146" s="9">
        <f t="shared" si="20"/>
        <v>0.71189568288096017</v>
      </c>
      <c r="U146" s="14">
        <f t="shared" si="23"/>
        <v>4.5298399311002667E-7</v>
      </c>
      <c r="W146" s="14">
        <f t="shared" si="21"/>
        <v>0.20267595141226433</v>
      </c>
      <c r="X146" s="16">
        <f t="shared" si="24"/>
        <v>9.4452764068100853E-2</v>
      </c>
    </row>
    <row r="147" spans="1:24" x14ac:dyDescent="0.3">
      <c r="A147" s="9">
        <v>29</v>
      </c>
      <c r="B147" s="9">
        <v>0.90058022766249946</v>
      </c>
      <c r="C147" s="9">
        <v>0.94898905560733393</v>
      </c>
      <c r="D147" s="9">
        <v>0.85464077974807318</v>
      </c>
      <c r="E147" s="9">
        <v>0.39999999999999991</v>
      </c>
      <c r="F147" s="9">
        <v>0.25</v>
      </c>
      <c r="G147" s="9">
        <v>1.20811318859061</v>
      </c>
      <c r="N147" s="9">
        <f t="shared" si="17"/>
        <v>1.4734990929845762</v>
      </c>
      <c r="O147" s="9">
        <f t="shared" si="18"/>
        <v>6.4128739113331283</v>
      </c>
      <c r="P147" s="9">
        <f t="shared" si="19"/>
        <v>-1.7459768372408311</v>
      </c>
      <c r="Q147" s="9">
        <f t="shared" si="22"/>
        <v>0.81358864842989598</v>
      </c>
      <c r="R147" s="9">
        <f t="shared" si="22"/>
        <v>0.99836238255540855</v>
      </c>
      <c r="S147" s="9">
        <f t="shared" si="22"/>
        <v>0.14855535527995881</v>
      </c>
      <c r="T147" s="9">
        <f t="shared" si="20"/>
        <v>1.2094443972297537</v>
      </c>
      <c r="U147" s="14">
        <f t="shared" si="23"/>
        <v>1.7721164409308499E-6</v>
      </c>
      <c r="W147" s="14">
        <f t="shared" si="21"/>
        <v>2.0565323210804723E-3</v>
      </c>
      <c r="X147" s="16">
        <f t="shared" si="24"/>
        <v>0.11018906603417716</v>
      </c>
    </row>
    <row r="148" spans="1:24" x14ac:dyDescent="0.3">
      <c r="A148" s="9">
        <v>30</v>
      </c>
      <c r="B148" s="9">
        <v>0.93966736106488868</v>
      </c>
      <c r="C148" s="9">
        <v>0.96936441087182934</v>
      </c>
      <c r="D148" s="9">
        <v>0.91088009787415281</v>
      </c>
      <c r="E148" s="9">
        <v>0.47222222222222221</v>
      </c>
      <c r="F148" s="9">
        <v>0.25</v>
      </c>
      <c r="G148" s="9">
        <v>1.3161425674282301</v>
      </c>
      <c r="N148" s="9">
        <f t="shared" si="17"/>
        <v>1.7087769756131292</v>
      </c>
      <c r="O148" s="9">
        <f t="shared" si="18"/>
        <v>6.7583288576173102</v>
      </c>
      <c r="P148" s="9">
        <f t="shared" si="19"/>
        <v>-1.506620581949365</v>
      </c>
      <c r="Q148" s="9">
        <f t="shared" si="22"/>
        <v>0.84667758505718349</v>
      </c>
      <c r="R148" s="9">
        <f t="shared" si="22"/>
        <v>0.99884017871688513</v>
      </c>
      <c r="S148" s="9">
        <f t="shared" si="22"/>
        <v>0.18144016284602496</v>
      </c>
      <c r="T148" s="9">
        <f t="shared" si="20"/>
        <v>1.3160983536605957</v>
      </c>
      <c r="U148" s="14">
        <f t="shared" si="23"/>
        <v>1.9548572484301005E-9</v>
      </c>
      <c r="W148" s="14">
        <f t="shared" si="21"/>
        <v>2.3524928853861031E-2</v>
      </c>
      <c r="X148" s="16">
        <f t="shared" si="24"/>
        <v>3.3593448558396125E-3</v>
      </c>
    </row>
    <row r="149" spans="1:24" x14ac:dyDescent="0.3">
      <c r="A149" s="9">
        <v>31</v>
      </c>
      <c r="B149" s="9">
        <v>0.93311773293603162</v>
      </c>
      <c r="C149" s="9">
        <v>0.96598019282800607</v>
      </c>
      <c r="D149" s="9">
        <v>0.90137324759278015</v>
      </c>
      <c r="E149" s="9">
        <v>0.3203125</v>
      </c>
      <c r="F149" s="9">
        <v>0.25</v>
      </c>
      <c r="G149" s="9">
        <v>1.0803604048297</v>
      </c>
      <c r="N149" s="9">
        <f t="shared" si="17"/>
        <v>1.2099305188583658</v>
      </c>
      <c r="O149" s="9">
        <f t="shared" si="18"/>
        <v>6.7252479084125438</v>
      </c>
      <c r="P149" s="9">
        <f t="shared" si="19"/>
        <v>-2.0130597785328597</v>
      </c>
      <c r="Q149" s="9">
        <f t="shared" si="22"/>
        <v>0.77028665492825443</v>
      </c>
      <c r="R149" s="9">
        <f t="shared" si="22"/>
        <v>0.99880121581110415</v>
      </c>
      <c r="S149" s="9">
        <f t="shared" si="22"/>
        <v>0.11783853371586282</v>
      </c>
      <c r="T149" s="9">
        <f t="shared" si="20"/>
        <v>1.082216634856997</v>
      </c>
      <c r="U149" s="14">
        <f t="shared" si="23"/>
        <v>3.445589914239273E-6</v>
      </c>
      <c r="W149" s="14">
        <f t="shared" si="21"/>
        <v>6.7903826330753588E-3</v>
      </c>
      <c r="X149" s="16">
        <f t="shared" si="24"/>
        <v>0.17181581433370563</v>
      </c>
    </row>
    <row r="150" spans="1:24" x14ac:dyDescent="0.3">
      <c r="A150" s="9">
        <v>32</v>
      </c>
      <c r="B150" s="9">
        <v>0.67803485561868637</v>
      </c>
      <c r="C150" s="9">
        <v>0.82342871920931104</v>
      </c>
      <c r="D150" s="9">
        <v>0.55831337274136517</v>
      </c>
      <c r="E150" s="9">
        <v>6.0816326530612308E-2</v>
      </c>
      <c r="F150" s="9">
        <v>0.25</v>
      </c>
      <c r="G150" s="9">
        <v>0.64538064230383796</v>
      </c>
      <c r="N150" s="9">
        <f t="shared" si="17"/>
        <v>0.36193220416127314</v>
      </c>
      <c r="O150" s="9">
        <f t="shared" si="18"/>
        <v>4.6016548867258251</v>
      </c>
      <c r="P150" s="9">
        <f t="shared" si="19"/>
        <v>-2.9186405368728252</v>
      </c>
      <c r="Q150" s="9">
        <f t="shared" si="22"/>
        <v>0.58950808559780743</v>
      </c>
      <c r="R150" s="9">
        <f t="shared" si="22"/>
        <v>0.99006449012453135</v>
      </c>
      <c r="S150" s="9">
        <f t="shared" si="22"/>
        <v>5.1239749876124556E-2</v>
      </c>
      <c r="T150" s="9">
        <f t="shared" si="20"/>
        <v>0.6440004484508719</v>
      </c>
      <c r="U150" s="14">
        <f t="shared" si="23"/>
        <v>1.9049350717653E-6</v>
      </c>
      <c r="W150" s="14">
        <f t="shared" si="21"/>
        <v>0.26768572803471535</v>
      </c>
      <c r="X150" s="16">
        <f t="shared" si="24"/>
        <v>0.21385733666245926</v>
      </c>
    </row>
    <row r="151" spans="1:24" x14ac:dyDescent="0.3">
      <c r="A151" s="9">
        <v>33</v>
      </c>
      <c r="B151" s="9">
        <v>0.89158042542455807</v>
      </c>
      <c r="C151" s="9">
        <v>0.94423536548074616</v>
      </c>
      <c r="D151" s="9">
        <v>0.8418617688562372</v>
      </c>
      <c r="E151" s="9">
        <v>0.2432653061224489</v>
      </c>
      <c r="F151" s="9">
        <v>0.25</v>
      </c>
      <c r="G151" s="9">
        <v>0.957829545903914</v>
      </c>
      <c r="N151" s="9">
        <f t="shared" si="17"/>
        <v>0.95884047176568254</v>
      </c>
      <c r="O151" s="9">
        <f t="shared" si="18"/>
        <v>6.3599129343204464</v>
      </c>
      <c r="P151" s="9">
        <f t="shared" si="19"/>
        <v>-2.2687995212455236</v>
      </c>
      <c r="Q151" s="9">
        <f t="shared" si="22"/>
        <v>0.72288958820182581</v>
      </c>
      <c r="R151" s="9">
        <f t="shared" si="22"/>
        <v>0.9982734687786935</v>
      </c>
      <c r="S151" s="9">
        <f t="shared" si="22"/>
        <v>9.3740146700924773E-2</v>
      </c>
      <c r="T151" s="9">
        <f t="shared" si="20"/>
        <v>0.95609103035632881</v>
      </c>
      <c r="U151" s="14">
        <f t="shared" si="23"/>
        <v>3.022436309195452E-6</v>
      </c>
      <c r="W151" s="14">
        <f t="shared" si="21"/>
        <v>4.1998205422851487E-2</v>
      </c>
      <c r="X151" s="16">
        <f t="shared" si="24"/>
        <v>0.18150573398156555</v>
      </c>
    </row>
    <row r="152" spans="1:24" x14ac:dyDescent="0.3">
      <c r="A152" s="9">
        <v>34</v>
      </c>
      <c r="B152" s="9">
        <v>0.96611717808573394</v>
      </c>
      <c r="C152" s="9">
        <v>0.98291259941346465</v>
      </c>
      <c r="D152" s="9">
        <v>0.94960874685025021</v>
      </c>
      <c r="E152" s="9">
        <v>0.54734693877551011</v>
      </c>
      <c r="F152" s="9">
        <v>0.25</v>
      </c>
      <c r="G152" s="9">
        <v>1.42237877245952</v>
      </c>
      <c r="N152" s="9">
        <f t="shared" si="17"/>
        <v>1.9540384254722991</v>
      </c>
      <c r="O152" s="9">
        <f t="shared" si="18"/>
        <v>6.9918587319812744</v>
      </c>
      <c r="P152" s="9">
        <f t="shared" si="19"/>
        <v>-1.2580012915486316</v>
      </c>
      <c r="Q152" s="9">
        <f t="shared" si="22"/>
        <v>0.87588632374659259</v>
      </c>
      <c r="R152" s="9">
        <f t="shared" si="22"/>
        <v>0.99908150825955999</v>
      </c>
      <c r="S152" s="9">
        <f t="shared" si="22"/>
        <v>0.22131815062513635</v>
      </c>
      <c r="T152" s="9">
        <f t="shared" si="20"/>
        <v>1.4233104678603219</v>
      </c>
      <c r="U152" s="14">
        <f t="shared" si="23"/>
        <v>8.6805631987531309E-7</v>
      </c>
      <c r="W152" s="14">
        <f t="shared" si="21"/>
        <v>6.7399735134791069E-2</v>
      </c>
      <c r="X152" s="16">
        <f t="shared" si="24"/>
        <v>6.5502622707930058E-2</v>
      </c>
    </row>
    <row r="153" spans="1:24" x14ac:dyDescent="0.3">
      <c r="A153" s="9">
        <v>35</v>
      </c>
      <c r="B153" s="9">
        <v>0.98325960470347551</v>
      </c>
      <c r="C153" s="9">
        <v>0.99159447593432848</v>
      </c>
      <c r="D153" s="9">
        <v>0.97499479243333798</v>
      </c>
      <c r="E153" s="9">
        <v>0.62781249999999988</v>
      </c>
      <c r="F153" s="9">
        <v>0.25</v>
      </c>
      <c r="G153" s="9">
        <v>1.53516417524229</v>
      </c>
      <c r="N153" s="9">
        <f t="shared" si="17"/>
        <v>2.2173292462857832</v>
      </c>
      <c r="O153" s="9">
        <f t="shared" si="18"/>
        <v>7.1393479301171983</v>
      </c>
      <c r="P153" s="9">
        <f t="shared" si="19"/>
        <v>-0.99120202380983269</v>
      </c>
      <c r="Q153" s="9">
        <f t="shared" si="22"/>
        <v>0.90179492519640125</v>
      </c>
      <c r="R153" s="9">
        <f t="shared" si="22"/>
        <v>0.99920735958241891</v>
      </c>
      <c r="S153" s="9">
        <f t="shared" si="22"/>
        <v>0.27067472083107924</v>
      </c>
      <c r="T153" s="9">
        <f t="shared" si="20"/>
        <v>1.5349661155831598</v>
      </c>
      <c r="U153" s="14">
        <f t="shared" si="23"/>
        <v>3.9227628574780146E-8</v>
      </c>
      <c r="W153" s="14">
        <f t="shared" si="21"/>
        <v>0.1386817543290032</v>
      </c>
      <c r="X153" s="16">
        <f t="shared" si="24"/>
        <v>1.2901529512240209E-2</v>
      </c>
    </row>
    <row r="154" spans="1:24" x14ac:dyDescent="0.3">
      <c r="A154" s="9">
        <v>36</v>
      </c>
      <c r="B154" s="9">
        <v>0.63822315837842447</v>
      </c>
      <c r="C154" s="9">
        <v>0.79888870212215701</v>
      </c>
      <c r="D154" s="9">
        <v>0.50986927066124366</v>
      </c>
      <c r="E154" s="9">
        <v>4.4691358024691374E-2</v>
      </c>
      <c r="F154" s="9">
        <v>0.25</v>
      </c>
      <c r="G154" s="9">
        <v>0.62303920032655402</v>
      </c>
      <c r="N154" s="9">
        <f t="shared" si="17"/>
        <v>0.30765278936912122</v>
      </c>
      <c r="O154" s="9">
        <f t="shared" si="18"/>
        <v>4.3037306151453727</v>
      </c>
      <c r="P154" s="9">
        <f t="shared" si="19"/>
        <v>-2.9934150665872661</v>
      </c>
      <c r="Q154" s="9">
        <f t="shared" si="22"/>
        <v>0.57631223049294589</v>
      </c>
      <c r="R154" s="9">
        <f t="shared" si="22"/>
        <v>0.98666226570563753</v>
      </c>
      <c r="S154" s="9">
        <f t="shared" si="22"/>
        <v>4.7724246599215238E-2</v>
      </c>
      <c r="T154" s="9">
        <f t="shared" si="20"/>
        <v>0.61901019377372335</v>
      </c>
      <c r="U154" s="14">
        <f t="shared" si="23"/>
        <v>1.6232893802752493E-5</v>
      </c>
      <c r="W154" s="14">
        <f t="shared" si="21"/>
        <v>0.29130305676685375</v>
      </c>
      <c r="X154" s="16">
        <f t="shared" si="24"/>
        <v>0.64666983244697052</v>
      </c>
    </row>
    <row r="155" spans="1:24" x14ac:dyDescent="0.3">
      <c r="A155" s="9">
        <v>37</v>
      </c>
      <c r="B155" s="9">
        <v>0.86512518623928769</v>
      </c>
      <c r="C155" s="9">
        <v>0.93012105999127204</v>
      </c>
      <c r="D155" s="9">
        <v>0.80467115525003297</v>
      </c>
      <c r="E155" s="9">
        <v>0.17876543209876539</v>
      </c>
      <c r="F155" s="9">
        <v>0.25</v>
      </c>
      <c r="G155" s="9">
        <v>0.84360298333022898</v>
      </c>
      <c r="N155" s="9">
        <f t="shared" si="17"/>
        <v>0.74797441192967651</v>
      </c>
      <c r="O155" s="9">
        <f t="shared" si="18"/>
        <v>6.134912094860093</v>
      </c>
      <c r="P155" s="9">
        <f t="shared" si="19"/>
        <v>-2.4843291960286642</v>
      </c>
      <c r="Q155" s="9">
        <f t="shared" si="22"/>
        <v>0.67873717357812369</v>
      </c>
      <c r="R155" s="9">
        <f t="shared" si="22"/>
        <v>0.99783876544701255</v>
      </c>
      <c r="S155" s="9">
        <f t="shared" si="22"/>
        <v>7.6964089575429107E-2</v>
      </c>
      <c r="T155" s="9">
        <f t="shared" si="20"/>
        <v>0.84513405305828471</v>
      </c>
      <c r="U155" s="14">
        <f t="shared" si="23"/>
        <v>2.344174512168625E-6</v>
      </c>
      <c r="W155" s="14">
        <f t="shared" si="21"/>
        <v>0.10186387128299096</v>
      </c>
      <c r="X155" s="16">
        <f t="shared" si="24"/>
        <v>0.18149173939755789</v>
      </c>
    </row>
    <row r="156" spans="1:24" x14ac:dyDescent="0.3">
      <c r="A156" s="9">
        <v>38</v>
      </c>
      <c r="B156" s="9">
        <v>0.9598686322313662</v>
      </c>
      <c r="C156" s="9">
        <v>0.97972885648600039</v>
      </c>
      <c r="D156" s="9">
        <v>0.94041099743281709</v>
      </c>
      <c r="E156" s="9">
        <v>0.40222222222222215</v>
      </c>
      <c r="F156" s="9">
        <v>0.25</v>
      </c>
      <c r="G156" s="9">
        <v>1.20858230540583</v>
      </c>
      <c r="N156" s="9">
        <f t="shared" si="17"/>
        <v>1.4775142148503184</v>
      </c>
      <c r="O156" s="9">
        <f t="shared" si="18"/>
        <v>6.9594779353873699</v>
      </c>
      <c r="P156" s="9">
        <f t="shared" si="19"/>
        <v>-1.7416533216672212</v>
      </c>
      <c r="Q156" s="9">
        <f t="shared" si="22"/>
        <v>0.8141968239142634</v>
      </c>
      <c r="R156" s="9">
        <f t="shared" si="22"/>
        <v>0.99905130867623748</v>
      </c>
      <c r="S156" s="9">
        <f t="shared" si="22"/>
        <v>0.14910305369330562</v>
      </c>
      <c r="T156" s="9">
        <f t="shared" si="20"/>
        <v>1.2100046774871602</v>
      </c>
      <c r="U156" s="14">
        <f t="shared" si="23"/>
        <v>2.0231423377476776E-6</v>
      </c>
      <c r="W156" s="14">
        <f t="shared" si="21"/>
        <v>2.0993003539536361E-3</v>
      </c>
      <c r="X156" s="16">
        <f t="shared" si="24"/>
        <v>0.11768930216569792</v>
      </c>
    </row>
    <row r="157" spans="1:24" x14ac:dyDescent="0.3">
      <c r="A157" s="9">
        <v>39</v>
      </c>
      <c r="B157" s="9">
        <v>0.99334100566047745</v>
      </c>
      <c r="C157" s="9">
        <v>0.99666494152271545</v>
      </c>
      <c r="D157" s="9">
        <v>0.99002815531871613</v>
      </c>
      <c r="E157" s="9">
        <v>0.71506172839506177</v>
      </c>
      <c r="F157" s="9">
        <v>0.25</v>
      </c>
      <c r="G157" s="9">
        <v>1.6541995551553801</v>
      </c>
      <c r="N157" s="9">
        <f t="shared" si="17"/>
        <v>2.5033507780944175</v>
      </c>
      <c r="O157" s="9">
        <f t="shared" si="18"/>
        <v>7.2195280379225988</v>
      </c>
      <c r="P157" s="9">
        <f t="shared" si="19"/>
        <v>-0.70120142578140232</v>
      </c>
      <c r="Q157" s="9">
        <f t="shared" si="22"/>
        <v>0.92437638838719782</v>
      </c>
      <c r="R157" s="9">
        <f t="shared" si="22"/>
        <v>0.9992683877649623</v>
      </c>
      <c r="S157" s="9">
        <f t="shared" si="22"/>
        <v>0.33154591011534773</v>
      </c>
      <c r="T157" s="9">
        <f t="shared" si="20"/>
        <v>1.6532950453375668</v>
      </c>
      <c r="U157" s="14">
        <f t="shared" si="23"/>
        <v>8.18138010520676E-7</v>
      </c>
      <c r="W157" s="14">
        <f t="shared" si="21"/>
        <v>0.24150872514662697</v>
      </c>
      <c r="X157" s="16">
        <f t="shared" si="24"/>
        <v>5.467960712444718E-2</v>
      </c>
    </row>
    <row r="158" spans="1:24" x14ac:dyDescent="0.3">
      <c r="A158" s="9">
        <v>1</v>
      </c>
      <c r="B158" s="9">
        <v>1</v>
      </c>
      <c r="C158" s="9">
        <v>1</v>
      </c>
      <c r="D158" s="9">
        <v>1</v>
      </c>
      <c r="E158" s="9">
        <v>1</v>
      </c>
      <c r="F158" s="9">
        <v>0.33333333333333331</v>
      </c>
      <c r="G158" s="9">
        <v>2.0169035446825698</v>
      </c>
      <c r="N158" s="9">
        <f t="shared" si="17"/>
        <v>3.4469133794979721</v>
      </c>
      <c r="O158" s="9">
        <f t="shared" si="18"/>
        <v>7.1771095164511109</v>
      </c>
      <c r="P158" s="9">
        <f t="shared" si="19"/>
        <v>0.25156182221530443</v>
      </c>
      <c r="Q158" s="9">
        <f t="shared" si="22"/>
        <v>0.96913895758537061</v>
      </c>
      <c r="R158" s="9">
        <f t="shared" si="22"/>
        <v>0.99923671044057827</v>
      </c>
      <c r="S158" s="9">
        <f t="shared" si="22"/>
        <v>0.56256088115938097</v>
      </c>
      <c r="T158" s="9">
        <f t="shared" si="20"/>
        <v>2.0174426898961864</v>
      </c>
      <c r="U158" s="14">
        <f t="shared" si="23"/>
        <v>2.9067756136561595E-7</v>
      </c>
      <c r="W158" s="14">
        <f t="shared" si="21"/>
        <v>0.72955404942079893</v>
      </c>
      <c r="X158" s="16">
        <f t="shared" si="24"/>
        <v>2.6731333535406389E-2</v>
      </c>
    </row>
    <row r="159" spans="1:24" x14ac:dyDescent="0.3">
      <c r="A159" s="9">
        <v>2</v>
      </c>
      <c r="B159" s="9">
        <v>0.99805795702633637</v>
      </c>
      <c r="C159" s="9">
        <v>0.99902850661346809</v>
      </c>
      <c r="D159" s="9">
        <v>0.9970883503217095</v>
      </c>
      <c r="E159" s="9">
        <v>0.90500000000000003</v>
      </c>
      <c r="F159" s="9">
        <v>0.33333333333333331</v>
      </c>
      <c r="G159" s="9">
        <v>1.90016469967622</v>
      </c>
      <c r="N159" s="9">
        <f t="shared" si="17"/>
        <v>3.1348560282728957</v>
      </c>
      <c r="O159" s="9">
        <f t="shared" si="18"/>
        <v>7.1757485925753262</v>
      </c>
      <c r="P159" s="9">
        <f t="shared" si="19"/>
        <v>-6.5167222399216129E-2</v>
      </c>
      <c r="Q159" s="9">
        <f t="shared" si="22"/>
        <v>0.95830784269045421</v>
      </c>
      <c r="R159" s="9">
        <f t="shared" si="22"/>
        <v>0.99923567174893102</v>
      </c>
      <c r="S159" s="9">
        <f t="shared" si="22"/>
        <v>0.4837139575777511</v>
      </c>
      <c r="T159" s="9">
        <f t="shared" si="20"/>
        <v>1.9024609332633242</v>
      </c>
      <c r="U159" s="14">
        <f t="shared" si="23"/>
        <v>5.2726886865453276E-6</v>
      </c>
      <c r="W159" s="14">
        <f t="shared" si="21"/>
        <v>0.54375952220612245</v>
      </c>
      <c r="X159" s="16">
        <f t="shared" si="24"/>
        <v>0.12084392408170976</v>
      </c>
    </row>
    <row r="160" spans="1:24" x14ac:dyDescent="0.3">
      <c r="A160" s="9">
        <v>3</v>
      </c>
      <c r="B160" s="9">
        <v>0.99152490614171707</v>
      </c>
      <c r="C160" s="9">
        <v>0.99575343641973801</v>
      </c>
      <c r="D160" s="9">
        <v>0.98731433258637347</v>
      </c>
      <c r="E160" s="9">
        <v>0.82000000000000006</v>
      </c>
      <c r="F160" s="9">
        <v>0.33333333333333331</v>
      </c>
      <c r="G160" s="9">
        <v>1.7931677764718399</v>
      </c>
      <c r="N160" s="9">
        <f t="shared" si="17"/>
        <v>2.8559880000254396</v>
      </c>
      <c r="O160" s="9">
        <f t="shared" si="18"/>
        <v>7.1287430902944608</v>
      </c>
      <c r="P160" s="9">
        <f t="shared" si="19"/>
        <v>-0.34801524774337977</v>
      </c>
      <c r="Q160" s="9">
        <f t="shared" si="22"/>
        <v>0.94562738601405516</v>
      </c>
      <c r="R160" s="9">
        <f t="shared" si="22"/>
        <v>0.99919891579817111</v>
      </c>
      <c r="S160" s="9">
        <f t="shared" si="22"/>
        <v>0.41386380093278785</v>
      </c>
      <c r="T160" s="9">
        <f t="shared" si="20"/>
        <v>1.7942299109840285</v>
      </c>
      <c r="U160" s="14">
        <f t="shared" si="23"/>
        <v>1.1281297219821518E-6</v>
      </c>
      <c r="W160" s="14">
        <f t="shared" si="21"/>
        <v>0.39740869084324759</v>
      </c>
      <c r="X160" s="16">
        <f t="shared" si="24"/>
        <v>5.9232299739315389E-2</v>
      </c>
    </row>
    <row r="161" spans="1:24" x14ac:dyDescent="0.3">
      <c r="A161" s="9">
        <v>4</v>
      </c>
      <c r="B161" s="9">
        <v>0.97911342554320058</v>
      </c>
      <c r="C161" s="9">
        <v>0.98950160461881032</v>
      </c>
      <c r="D161" s="9">
        <v>0.96883430567881712</v>
      </c>
      <c r="E161" s="9">
        <v>0.74500000000000011</v>
      </c>
      <c r="F161" s="9">
        <v>0.33333333333333331</v>
      </c>
      <c r="G161" s="9">
        <v>1.69748447157599</v>
      </c>
      <c r="N161" s="9">
        <f t="shared" si="17"/>
        <v>2.6103751941315978</v>
      </c>
      <c r="O161" s="9">
        <f t="shared" si="18"/>
        <v>7.0243340181733718</v>
      </c>
      <c r="P161" s="9">
        <f t="shared" si="19"/>
        <v>-0.59692494690083997</v>
      </c>
      <c r="Q161" s="9">
        <f t="shared" si="22"/>
        <v>0.93152633191773271</v>
      </c>
      <c r="R161" s="9">
        <f t="shared" si="22"/>
        <v>0.99911083130510348</v>
      </c>
      <c r="S161" s="9">
        <f t="shared" si="22"/>
        <v>0.35504753215706619</v>
      </c>
      <c r="T161" s="9">
        <f t="shared" si="20"/>
        <v>1.696061797590436</v>
      </c>
      <c r="U161" s="14">
        <f t="shared" si="23"/>
        <v>2.0240012691722969E-6</v>
      </c>
      <c r="W161" s="14">
        <f t="shared" si="21"/>
        <v>0.28592578716835065</v>
      </c>
      <c r="X161" s="16">
        <f t="shared" si="24"/>
        <v>8.3810721651740333E-2</v>
      </c>
    </row>
    <row r="162" spans="1:24" x14ac:dyDescent="0.3">
      <c r="A162" s="9">
        <v>5</v>
      </c>
      <c r="B162" s="9">
        <v>0.95913394700955001</v>
      </c>
      <c r="C162" s="9">
        <v>0.97935384157593941</v>
      </c>
      <c r="D162" s="9">
        <v>0.93933151558969652</v>
      </c>
      <c r="E162" s="9">
        <v>0.67999999999999994</v>
      </c>
      <c r="F162" s="9">
        <v>0.33333333333333331</v>
      </c>
      <c r="G162" s="9">
        <v>1.60449970222896</v>
      </c>
      <c r="N162" s="9">
        <f t="shared" si="17"/>
        <v>2.3980707058173789</v>
      </c>
      <c r="O162" s="9">
        <f t="shared" si="18"/>
        <v>6.8477746103253399</v>
      </c>
      <c r="P162" s="9">
        <f t="shared" si="19"/>
        <v>-0.81194985167877043</v>
      </c>
      <c r="Q162" s="9">
        <f t="shared" si="22"/>
        <v>0.91668006682051661</v>
      </c>
      <c r="R162" s="9">
        <f t="shared" si="22"/>
        <v>0.99893931023736515</v>
      </c>
      <c r="S162" s="9">
        <f t="shared" si="22"/>
        <v>0.30747514983870866</v>
      </c>
      <c r="T162" s="9">
        <f t="shared" si="20"/>
        <v>1.6096752414660693</v>
      </c>
      <c r="U162" s="14">
        <f t="shared" si="23"/>
        <v>2.6786206394858318E-5</v>
      </c>
      <c r="W162" s="14">
        <f t="shared" si="21"/>
        <v>0.19513026907533618</v>
      </c>
      <c r="X162" s="16">
        <f t="shared" si="24"/>
        <v>0.32256405095741153</v>
      </c>
    </row>
    <row r="163" spans="1:24" x14ac:dyDescent="0.3">
      <c r="A163" s="9">
        <v>6</v>
      </c>
      <c r="B163" s="9">
        <v>0.92929286340991557</v>
      </c>
      <c r="C163" s="9">
        <v>0.96399837313655024</v>
      </c>
      <c r="D163" s="9">
        <v>0.89583680849456471</v>
      </c>
      <c r="E163" s="9">
        <v>0.625</v>
      </c>
      <c r="F163" s="9">
        <v>0.33333333333333331</v>
      </c>
      <c r="G163" s="9">
        <v>1.5370382820969499</v>
      </c>
      <c r="N163" s="9">
        <f t="shared" si="17"/>
        <v>2.2190873751063149</v>
      </c>
      <c r="O163" s="9">
        <f t="shared" si="18"/>
        <v>6.5802405778727344</v>
      </c>
      <c r="P163" s="9">
        <f t="shared" si="19"/>
        <v>-0.99342954686278784</v>
      </c>
      <c r="Q163" s="9">
        <f t="shared" si="22"/>
        <v>0.90195051660723458</v>
      </c>
      <c r="R163" s="9">
        <f t="shared" si="22"/>
        <v>0.99861440708241489</v>
      </c>
      <c r="S163" s="9">
        <f t="shared" si="22"/>
        <v>0.27023521038724901</v>
      </c>
      <c r="T163" s="9">
        <f t="shared" si="20"/>
        <v>1.5359385385059801</v>
      </c>
      <c r="U163" s="14">
        <f t="shared" si="23"/>
        <v>1.2094359658793059E-6</v>
      </c>
      <c r="W163" s="14">
        <f t="shared" si="21"/>
        <v>0.14008110136231725</v>
      </c>
      <c r="X163" s="16">
        <f t="shared" si="24"/>
        <v>7.154952506905117E-2</v>
      </c>
    </row>
    <row r="164" spans="1:24" x14ac:dyDescent="0.3">
      <c r="A164" s="9">
        <v>7</v>
      </c>
      <c r="B164" s="9">
        <v>0.88629579591014296</v>
      </c>
      <c r="C164" s="9">
        <v>0.94143284195429633</v>
      </c>
      <c r="D164" s="9">
        <v>0.83438796995583142</v>
      </c>
      <c r="E164" s="9">
        <v>0.58000000000000007</v>
      </c>
      <c r="F164" s="9">
        <v>0.33333333333333331</v>
      </c>
      <c r="G164" s="9">
        <v>1.4741379362937701</v>
      </c>
      <c r="N164" s="9">
        <f t="shared" si="17"/>
        <v>2.0733358331611904</v>
      </c>
      <c r="O164" s="9">
        <f t="shared" si="18"/>
        <v>6.1968103667778855</v>
      </c>
      <c r="P164" s="9">
        <f t="shared" si="19"/>
        <v>-1.1424421749651374</v>
      </c>
      <c r="Q164" s="9">
        <f t="shared" si="22"/>
        <v>0.88828442255626394</v>
      </c>
      <c r="R164" s="9">
        <f t="shared" si="22"/>
        <v>0.99796822241452465</v>
      </c>
      <c r="S164" s="9">
        <f t="shared" si="22"/>
        <v>0.24187225694722911</v>
      </c>
      <c r="T164" s="9">
        <f t="shared" si="20"/>
        <v>1.4754517022088551</v>
      </c>
      <c r="U164" s="14">
        <f t="shared" si="23"/>
        <v>1.7259808796392063E-6</v>
      </c>
      <c r="W164" s="14">
        <f t="shared" si="21"/>
        <v>9.6953614329669688E-2</v>
      </c>
      <c r="X164" s="16">
        <f t="shared" si="24"/>
        <v>8.9120962342781704E-2</v>
      </c>
    </row>
    <row r="165" spans="1:24" x14ac:dyDescent="0.3">
      <c r="A165" s="9">
        <v>8</v>
      </c>
      <c r="B165" s="9">
        <v>0.82493648944805331</v>
      </c>
      <c r="C165" s="9">
        <v>0.90826014414816936</v>
      </c>
      <c r="D165" s="9">
        <v>0.74925693481917366</v>
      </c>
      <c r="E165" s="9">
        <v>0.54499999999999993</v>
      </c>
      <c r="F165" s="9">
        <v>0.33333333333333331</v>
      </c>
      <c r="G165" s="9">
        <v>1.4303165023420401</v>
      </c>
      <c r="N165" s="9">
        <f t="shared" si="17"/>
        <v>1.9604671059354495</v>
      </c>
      <c r="O165" s="9">
        <f t="shared" si="18"/>
        <v>5.6620155704965303</v>
      </c>
      <c r="P165" s="9">
        <f t="shared" si="19"/>
        <v>-1.2621217949163936</v>
      </c>
      <c r="Q165" s="9">
        <f t="shared" si="22"/>
        <v>0.87658349512000189</v>
      </c>
      <c r="R165" s="9">
        <f t="shared" si="22"/>
        <v>0.99653653258824648</v>
      </c>
      <c r="S165" s="9">
        <f t="shared" si="22"/>
        <v>0.22060885329443139</v>
      </c>
      <c r="T165" s="9">
        <f t="shared" si="20"/>
        <v>1.428924531234075</v>
      </c>
      <c r="U165" s="14">
        <f t="shared" si="23"/>
        <v>1.9375835654095132E-6</v>
      </c>
      <c r="W165" s="14">
        <f t="shared" si="21"/>
        <v>7.1584243662140487E-2</v>
      </c>
      <c r="X165" s="16">
        <f t="shared" si="24"/>
        <v>9.7319097254755918E-2</v>
      </c>
    </row>
    <row r="166" spans="1:24" x14ac:dyDescent="0.3">
      <c r="A166" s="9">
        <v>9</v>
      </c>
      <c r="B166" s="9">
        <v>0.73549094564436945</v>
      </c>
      <c r="C166" s="9">
        <v>0.85760768749141325</v>
      </c>
      <c r="D166" s="9">
        <v>0.63076268906494071</v>
      </c>
      <c r="E166" s="9">
        <v>0.52</v>
      </c>
      <c r="F166" s="9">
        <v>0.33333333333333331</v>
      </c>
      <c r="G166" s="9">
        <v>1.39808623087633</v>
      </c>
      <c r="N166" s="9">
        <f t="shared" si="17"/>
        <v>1.8793722459565465</v>
      </c>
      <c r="O166" s="9">
        <f t="shared" si="18"/>
        <v>4.917713421531281</v>
      </c>
      <c r="P166" s="9">
        <f t="shared" si="19"/>
        <v>-1.3624003662535094</v>
      </c>
      <c r="Q166" s="9">
        <f t="shared" si="22"/>
        <v>0.86753900469439027</v>
      </c>
      <c r="R166" s="9">
        <f t="shared" si="22"/>
        <v>0.99273729282518719</v>
      </c>
      <c r="S166" s="9">
        <f t="shared" si="22"/>
        <v>0.20385045682619507</v>
      </c>
      <c r="T166" s="9">
        <f t="shared" si="20"/>
        <v>1.3978619911763359</v>
      </c>
      <c r="U166" s="14">
        <f t="shared" si="23"/>
        <v>5.0283443053433955E-8</v>
      </c>
      <c r="W166" s="14">
        <f t="shared" si="21"/>
        <v>5.5376466284289362E-2</v>
      </c>
      <c r="X166" s="16">
        <f t="shared" si="24"/>
        <v>1.6039046450913308E-2</v>
      </c>
    </row>
    <row r="167" spans="1:24" x14ac:dyDescent="0.3">
      <c r="A167" s="9">
        <v>10</v>
      </c>
      <c r="B167" s="9">
        <v>0.592782777626775</v>
      </c>
      <c r="C167" s="9">
        <v>0.76992387781310878</v>
      </c>
      <c r="D167" s="9">
        <v>0.45639761485123242</v>
      </c>
      <c r="E167" s="9">
        <v>0.50499999999999989</v>
      </c>
      <c r="F167" s="9">
        <v>0.33333333333333331</v>
      </c>
      <c r="G167" s="9">
        <v>1.3891042378332299</v>
      </c>
      <c r="N167" s="9">
        <f t="shared" si="17"/>
        <v>1.825717368531744</v>
      </c>
      <c r="O167" s="9">
        <f t="shared" si="18"/>
        <v>3.8370001057236838</v>
      </c>
      <c r="P167" s="9">
        <f t="shared" si="19"/>
        <v>-1.4861931598908269</v>
      </c>
      <c r="Q167" s="9">
        <f t="shared" si="22"/>
        <v>0.86125075269868046</v>
      </c>
      <c r="R167" s="9">
        <f t="shared" si="22"/>
        <v>0.9788967704631264</v>
      </c>
      <c r="S167" s="9">
        <f t="shared" si="22"/>
        <v>0.18449380094172907</v>
      </c>
      <c r="T167" s="9">
        <f t="shared" si="20"/>
        <v>1.389196118963608</v>
      </c>
      <c r="U167" s="14">
        <f t="shared" si="23"/>
        <v>8.4421421195496125E-9</v>
      </c>
      <c r="W167" s="14">
        <f t="shared" si="21"/>
        <v>5.1229820486909688E-2</v>
      </c>
      <c r="X167" s="16">
        <f t="shared" si="24"/>
        <v>6.6144158138468244E-3</v>
      </c>
    </row>
    <row r="168" spans="1:24" x14ac:dyDescent="0.3">
      <c r="A168" s="9">
        <v>11</v>
      </c>
      <c r="B168" s="9">
        <v>0.99798365800029631</v>
      </c>
      <c r="C168" s="9">
        <v>0.99899132028276216</v>
      </c>
      <c r="D168" s="9">
        <v>0.99697701212633671</v>
      </c>
      <c r="E168" s="9">
        <v>0.81</v>
      </c>
      <c r="F168" s="9">
        <v>0.33333333333333331</v>
      </c>
      <c r="G168" s="9">
        <v>1.78116857313438</v>
      </c>
      <c r="N168" s="9">
        <f t="shared" si="17"/>
        <v>2.8226632192076124</v>
      </c>
      <c r="O168" s="9">
        <f t="shared" si="18"/>
        <v>7.1922748868507869</v>
      </c>
      <c r="P168" s="9">
        <f t="shared" si="19"/>
        <v>-0.38211554660444236</v>
      </c>
      <c r="Q168" s="9">
        <f t="shared" si="22"/>
        <v>0.94388828587302298</v>
      </c>
      <c r="R168" s="9">
        <f t="shared" si="22"/>
        <v>0.99924819004063403</v>
      </c>
      <c r="S168" s="9">
        <f t="shared" si="22"/>
        <v>0.40561675444973583</v>
      </c>
      <c r="T168" s="9">
        <f t="shared" si="20"/>
        <v>1.7808412121602206</v>
      </c>
      <c r="U168" s="14">
        <f t="shared" si="23"/>
        <v>1.0716520740260351E-7</v>
      </c>
      <c r="W168" s="14">
        <f t="shared" si="21"/>
        <v>0.38242398991506743</v>
      </c>
      <c r="X168" s="16">
        <f t="shared" si="24"/>
        <v>1.837900011807141E-2</v>
      </c>
    </row>
    <row r="169" spans="1:24" x14ac:dyDescent="0.3">
      <c r="A169" s="9">
        <v>12</v>
      </c>
      <c r="B169" s="9">
        <v>0.99082969587065506</v>
      </c>
      <c r="C169" s="9">
        <v>0.99540428764932243</v>
      </c>
      <c r="D169" s="9">
        <v>0.98627612759992478</v>
      </c>
      <c r="E169" s="9">
        <v>0.64000000000000012</v>
      </c>
      <c r="F169" s="9">
        <v>0.33333333333333331</v>
      </c>
      <c r="G169" s="9">
        <v>1.5552389234456701</v>
      </c>
      <c r="N169" s="9">
        <f t="shared" si="17"/>
        <v>2.2645037251669864</v>
      </c>
      <c r="O169" s="9">
        <f t="shared" si="18"/>
        <v>7.154772701424208</v>
      </c>
      <c r="P169" s="9">
        <f t="shared" si="19"/>
        <v>-0.94848804870197601</v>
      </c>
      <c r="Q169" s="9">
        <f t="shared" si="22"/>
        <v>0.90589427538080203</v>
      </c>
      <c r="R169" s="9">
        <f t="shared" si="22"/>
        <v>0.99921948259901017</v>
      </c>
      <c r="S169" s="9">
        <f t="shared" si="22"/>
        <v>0.27918898922663049</v>
      </c>
      <c r="T169" s="9">
        <f t="shared" si="20"/>
        <v>1.5534737984854929</v>
      </c>
      <c r="U169" s="14">
        <f t="shared" si="23"/>
        <v>3.1156661250402488E-6</v>
      </c>
      <c r="W169" s="14">
        <f t="shared" si="21"/>
        <v>0.15403642200060669</v>
      </c>
      <c r="X169" s="16">
        <f t="shared" si="24"/>
        <v>0.11349542077216236</v>
      </c>
    </row>
    <row r="170" spans="1:24" x14ac:dyDescent="0.3">
      <c r="A170" s="9">
        <v>13</v>
      </c>
      <c r="B170" s="9">
        <v>0.97635838312361378</v>
      </c>
      <c r="C170" s="9">
        <v>0.98810848752736347</v>
      </c>
      <c r="D170" s="9">
        <v>0.96474800523293669</v>
      </c>
      <c r="E170" s="9">
        <v>0.49</v>
      </c>
      <c r="F170" s="9">
        <v>0.33333333333333331</v>
      </c>
      <c r="G170" s="9">
        <v>1.34327062830166</v>
      </c>
      <c r="N170" s="9">
        <f t="shared" si="17"/>
        <v>1.7725552866698158</v>
      </c>
      <c r="O170" s="9">
        <f t="shared" si="18"/>
        <v>7.0445104649085977</v>
      </c>
      <c r="P170" s="9">
        <f t="shared" si="19"/>
        <v>-1.4474290801083738</v>
      </c>
      <c r="Q170" s="9">
        <f t="shared" si="22"/>
        <v>0.8547751581647286</v>
      </c>
      <c r="R170" s="9">
        <f t="shared" si="22"/>
        <v>0.999128576318703</v>
      </c>
      <c r="S170" s="9">
        <f t="shared" si="22"/>
        <v>0.19039754845523835</v>
      </c>
      <c r="T170" s="9">
        <f t="shared" si="20"/>
        <v>1.3429285479273823</v>
      </c>
      <c r="U170" s="14">
        <f t="shared" si="23"/>
        <v>1.1701898246600026E-7</v>
      </c>
      <c r="W170" s="14">
        <f t="shared" si="21"/>
        <v>3.2582576847278881E-2</v>
      </c>
      <c r="X170" s="16">
        <f t="shared" si="24"/>
        <v>2.5466228998861196E-2</v>
      </c>
    </row>
    <row r="171" spans="1:24" x14ac:dyDescent="0.3">
      <c r="A171" s="9">
        <v>14</v>
      </c>
      <c r="B171" s="9">
        <v>0.95144310139704413</v>
      </c>
      <c r="C171" s="9">
        <v>0.97541944895365096</v>
      </c>
      <c r="D171" s="9">
        <v>0.92805610567545749</v>
      </c>
      <c r="E171" s="9">
        <v>0.35999999999999988</v>
      </c>
      <c r="F171" s="9">
        <v>0.33333333333333331</v>
      </c>
      <c r="G171" s="9">
        <v>1.1497402366871701</v>
      </c>
      <c r="N171" s="9">
        <f t="shared" si="17"/>
        <v>1.3469317120265101</v>
      </c>
      <c r="O171" s="9">
        <f t="shared" si="18"/>
        <v>6.8338747775367779</v>
      </c>
      <c r="P171" s="9">
        <f t="shared" si="19"/>
        <v>-1.8789861185071262</v>
      </c>
      <c r="Q171" s="9">
        <f t="shared" si="22"/>
        <v>0.79362754794498325</v>
      </c>
      <c r="R171" s="9">
        <f t="shared" si="22"/>
        <v>0.99892447985270039</v>
      </c>
      <c r="S171" s="9">
        <f t="shared" si="22"/>
        <v>0.13250537346982103</v>
      </c>
      <c r="T171" s="9">
        <f t="shared" si="20"/>
        <v>1.1478755072618967</v>
      </c>
      <c r="U171" s="14">
        <f t="shared" si="23"/>
        <v>3.4772158294803957E-6</v>
      </c>
      <c r="W171" s="14">
        <f t="shared" si="21"/>
        <v>1.6962317381926899E-4</v>
      </c>
      <c r="X171" s="16">
        <f t="shared" si="24"/>
        <v>0.16218701979556369</v>
      </c>
    </row>
    <row r="172" spans="1:24" x14ac:dyDescent="0.3">
      <c r="A172" s="9">
        <v>15</v>
      </c>
      <c r="B172" s="9">
        <v>0.91157954485698101</v>
      </c>
      <c r="C172" s="9">
        <v>0.95476674892718227</v>
      </c>
      <c r="D172" s="9">
        <v>0.87034583843162083</v>
      </c>
      <c r="E172" s="9">
        <v>0.25</v>
      </c>
      <c r="F172" s="9">
        <v>0.33333333333333331</v>
      </c>
      <c r="G172" s="9">
        <v>0.97283920038932103</v>
      </c>
      <c r="N172" s="9">
        <f t="shared" si="17"/>
        <v>0.98766407421412195</v>
      </c>
      <c r="O172" s="9">
        <f t="shared" si="18"/>
        <v>6.4857589580064738</v>
      </c>
      <c r="P172" s="9">
        <f t="shared" si="19"/>
        <v>-2.2438366493369708</v>
      </c>
      <c r="Q172" s="9">
        <f t="shared" si="22"/>
        <v>0.72862628644269756</v>
      </c>
      <c r="R172" s="9">
        <f t="shared" si="22"/>
        <v>0.99847731917853999</v>
      </c>
      <c r="S172" s="9">
        <f t="shared" si="22"/>
        <v>9.5882430388646758E-2</v>
      </c>
      <c r="T172" s="9">
        <f t="shared" si="20"/>
        <v>0.9701748178292926</v>
      </c>
      <c r="U172" s="14">
        <f t="shared" si="23"/>
        <v>7.0989344261836673E-6</v>
      </c>
      <c r="W172" s="14">
        <f t="shared" si="21"/>
        <v>3.6071498965124189E-2</v>
      </c>
      <c r="X172" s="16">
        <f t="shared" si="24"/>
        <v>0.27387697360079366</v>
      </c>
    </row>
    <row r="173" spans="1:24" x14ac:dyDescent="0.3">
      <c r="A173" s="9">
        <v>16</v>
      </c>
      <c r="B173" s="9">
        <v>0.85026083486688353</v>
      </c>
      <c r="C173" s="9">
        <v>0.92209589244659562</v>
      </c>
      <c r="D173" s="9">
        <v>0.78402202333896664</v>
      </c>
      <c r="E173" s="9">
        <v>0.15999999999999992</v>
      </c>
      <c r="F173" s="9">
        <v>0.33333333333333331</v>
      </c>
      <c r="G173" s="9">
        <v>0.81736187893113199</v>
      </c>
      <c r="N173" s="9">
        <f t="shared" si="17"/>
        <v>0.69448680248670913</v>
      </c>
      <c r="O173" s="9">
        <f t="shared" si="18"/>
        <v>5.952624779952064</v>
      </c>
      <c r="P173" s="9">
        <f t="shared" si="19"/>
        <v>-2.5447112210110205</v>
      </c>
      <c r="Q173" s="9">
        <f t="shared" si="22"/>
        <v>0.6669642939323247</v>
      </c>
      <c r="R173" s="9">
        <f t="shared" si="22"/>
        <v>0.99740772761211771</v>
      </c>
      <c r="S173" s="9">
        <f t="shared" si="22"/>
        <v>7.2782594693646938E-2</v>
      </c>
      <c r="T173" s="9">
        <f t="shared" si="20"/>
        <v>0.81650791708979131</v>
      </c>
      <c r="U173" s="14">
        <f t="shared" si="23"/>
        <v>7.2925082646596127E-7</v>
      </c>
      <c r="W173" s="14">
        <f t="shared" si="21"/>
        <v>0.11930275155689038</v>
      </c>
      <c r="X173" s="16">
        <f t="shared" si="24"/>
        <v>0.10447781617334638</v>
      </c>
    </row>
    <row r="174" spans="1:24" x14ac:dyDescent="0.3">
      <c r="A174" s="9">
        <v>17</v>
      </c>
      <c r="B174" s="9">
        <v>0.75804016693539389</v>
      </c>
      <c r="C174" s="9">
        <v>0.87065502177119147</v>
      </c>
      <c r="D174" s="9">
        <v>0.65999147804657321</v>
      </c>
      <c r="E174" s="9">
        <v>9.000000000000008E-2</v>
      </c>
      <c r="F174" s="9">
        <v>0.33333333333333331</v>
      </c>
      <c r="G174" s="9">
        <v>0.69830132682481705</v>
      </c>
      <c r="N174" s="9">
        <f t="shared" si="17"/>
        <v>0.46624535412939172</v>
      </c>
      <c r="O174" s="9">
        <f t="shared" si="18"/>
        <v>5.1798154098140126</v>
      </c>
      <c r="P174" s="9">
        <f t="shared" si="19"/>
        <v>-2.7911153151985912</v>
      </c>
      <c r="Q174" s="9">
        <f t="shared" si="22"/>
        <v>0.61449469795003875</v>
      </c>
      <c r="R174" s="9">
        <f t="shared" si="22"/>
        <v>0.99440246340250793</v>
      </c>
      <c r="S174" s="9">
        <f t="shared" si="22"/>
        <v>5.7806180084469271E-2</v>
      </c>
      <c r="T174" s="9">
        <f t="shared" si="20"/>
        <v>0.69533998753693826</v>
      </c>
      <c r="U174" s="14">
        <f t="shared" si="23"/>
        <v>8.7695303779344222E-6</v>
      </c>
      <c r="W174" s="14">
        <f t="shared" si="21"/>
        <v>0.21572574463302457</v>
      </c>
      <c r="X174" s="16">
        <f t="shared" si="24"/>
        <v>0.42407756853964779</v>
      </c>
    </row>
    <row r="175" spans="1:24" x14ac:dyDescent="0.3">
      <c r="A175" s="9">
        <v>18</v>
      </c>
      <c r="B175" s="9">
        <v>0.62081341767015485</v>
      </c>
      <c r="C175" s="9">
        <v>0.78791713883514092</v>
      </c>
      <c r="D175" s="9">
        <v>0.48914953180113391</v>
      </c>
      <c r="E175" s="9">
        <v>4.0000000000000036E-2</v>
      </c>
      <c r="F175" s="9">
        <v>0.33333333333333331</v>
      </c>
      <c r="G175" s="9">
        <v>0.61902067810030204</v>
      </c>
      <c r="N175" s="9">
        <f t="shared" si="17"/>
        <v>0.29911423133816084</v>
      </c>
      <c r="O175" s="9">
        <f t="shared" si="18"/>
        <v>4.1223039749734243</v>
      </c>
      <c r="P175" s="9">
        <f t="shared" si="19"/>
        <v>-3.0172207593677252</v>
      </c>
      <c r="Q175" s="9">
        <f t="shared" si="22"/>
        <v>0.57422596903528456</v>
      </c>
      <c r="R175" s="9">
        <f t="shared" si="22"/>
        <v>0.9840513512629776</v>
      </c>
      <c r="S175" s="9">
        <f t="shared" si="22"/>
        <v>4.6653932122044772E-2</v>
      </c>
      <c r="T175" s="9">
        <f t="shared" si="20"/>
        <v>0.61852102442859414</v>
      </c>
      <c r="U175" s="14">
        <f t="shared" si="23"/>
        <v>2.4965379165118623E-7</v>
      </c>
      <c r="W175" s="14">
        <f t="shared" si="21"/>
        <v>0.29565699896445602</v>
      </c>
      <c r="X175" s="16">
        <f t="shared" si="24"/>
        <v>8.0716798224136174E-2</v>
      </c>
    </row>
    <row r="176" spans="1:24" x14ac:dyDescent="0.3">
      <c r="A176" s="9">
        <v>19</v>
      </c>
      <c r="B176" s="9">
        <v>0.41411550520763146</v>
      </c>
      <c r="C176" s="9">
        <v>0.64351806906071529</v>
      </c>
      <c r="D176" s="9">
        <v>0.26649081027931787</v>
      </c>
      <c r="E176" s="9">
        <v>1.0000000000000009E-2</v>
      </c>
      <c r="F176" s="9">
        <v>0.33333333333333331</v>
      </c>
      <c r="G176" s="9">
        <v>0.61918691726249198</v>
      </c>
      <c r="N176" s="9">
        <f t="shared" si="17"/>
        <v>0.17940085171706563</v>
      </c>
      <c r="O176" s="9">
        <f t="shared" si="18"/>
        <v>2.8109116285505005</v>
      </c>
      <c r="P176" s="9">
        <f t="shared" si="19"/>
        <v>-3.3745040608834502</v>
      </c>
      <c r="Q176" s="9">
        <f t="shared" si="22"/>
        <v>0.54473030806552369</v>
      </c>
      <c r="R176" s="9">
        <f t="shared" si="22"/>
        <v>0.94326262766910252</v>
      </c>
      <c r="S176" s="9">
        <f t="shared" si="22"/>
        <v>3.3101847798399281E-2</v>
      </c>
      <c r="T176" s="9">
        <f t="shared" si="20"/>
        <v>0.62105504517986754</v>
      </c>
      <c r="U176" s="14">
        <f t="shared" si="23"/>
        <v>3.489901915677953E-6</v>
      </c>
      <c r="W176" s="14">
        <f t="shared" si="21"/>
        <v>0.2954762436705613</v>
      </c>
      <c r="X176" s="16">
        <f t="shared" si="24"/>
        <v>0.30170661964803852</v>
      </c>
    </row>
    <row r="177" spans="1:24" x14ac:dyDescent="0.3">
      <c r="A177" s="9">
        <v>20</v>
      </c>
      <c r="B177" s="9">
        <v>0.6046213212551188</v>
      </c>
      <c r="C177" s="9">
        <v>0.77757399728586529</v>
      </c>
      <c r="D177" s="9">
        <v>0.47013781761260415</v>
      </c>
      <c r="E177" s="9">
        <v>0.13</v>
      </c>
      <c r="F177" s="9">
        <v>0.33333333333333331</v>
      </c>
      <c r="G177" s="9">
        <v>0.79048934559945305</v>
      </c>
      <c r="N177" s="9">
        <f t="shared" si="17"/>
        <v>0.59404372043188081</v>
      </c>
      <c r="O177" s="9">
        <f t="shared" si="18"/>
        <v>3.9891471586263347</v>
      </c>
      <c r="P177" s="9">
        <f t="shared" si="19"/>
        <v>-2.7283091571426743</v>
      </c>
      <c r="Q177" s="9">
        <f t="shared" si="22"/>
        <v>0.64429242409830567</v>
      </c>
      <c r="R177" s="9">
        <f t="shared" si="22"/>
        <v>0.98182109334187051</v>
      </c>
      <c r="S177" s="9">
        <f t="shared" si="22"/>
        <v>6.1323420405728343E-2</v>
      </c>
      <c r="T177" s="9">
        <f t="shared" si="20"/>
        <v>0.78632265171517746</v>
      </c>
      <c r="U177" s="14">
        <f t="shared" si="23"/>
        <v>1.7361337925259656E-5</v>
      </c>
      <c r="W177" s="14">
        <f t="shared" si="21"/>
        <v>0.13858855445469406</v>
      </c>
      <c r="X177" s="16">
        <f t="shared" si="24"/>
        <v>0.52710310486422318</v>
      </c>
    </row>
    <row r="178" spans="1:24" x14ac:dyDescent="0.3">
      <c r="A178" s="9">
        <v>21</v>
      </c>
      <c r="B178" s="9">
        <v>0.5360450892996631</v>
      </c>
      <c r="C178" s="9">
        <v>0.73215100170638503</v>
      </c>
      <c r="D178" s="9">
        <v>0.39246594909053695</v>
      </c>
      <c r="E178" s="9">
        <v>3.6250000000000004E-2</v>
      </c>
      <c r="F178" s="9">
        <v>0.33333333333333331</v>
      </c>
      <c r="G178" s="9">
        <v>0.622003349621153</v>
      </c>
      <c r="N178" s="9">
        <f t="shared" si="17"/>
        <v>0.2810256753526742</v>
      </c>
      <c r="O178" s="9">
        <f t="shared" si="18"/>
        <v>3.5351185881080167</v>
      </c>
      <c r="P178" s="9">
        <f t="shared" si="19"/>
        <v>-3.1029204909839878</v>
      </c>
      <c r="Q178" s="9">
        <f t="shared" si="22"/>
        <v>0.56979766395901454</v>
      </c>
      <c r="R178" s="9">
        <f t="shared" si="22"/>
        <v>0.97167065132728647</v>
      </c>
      <c r="S178" s="9">
        <f t="shared" si="22"/>
        <v>4.298694816849162E-2</v>
      </c>
      <c r="T178" s="9">
        <f t="shared" si="20"/>
        <v>0.62925698060632629</v>
      </c>
      <c r="U178" s="14">
        <f t="shared" si="23"/>
        <v>5.2615162469065996E-5</v>
      </c>
      <c r="W178" s="14">
        <f t="shared" si="21"/>
        <v>0.29242227876128984</v>
      </c>
      <c r="X178" s="16">
        <f t="shared" si="24"/>
        <v>1.166172334858212</v>
      </c>
    </row>
    <row r="179" spans="1:24" x14ac:dyDescent="0.3">
      <c r="A179" s="9">
        <v>22</v>
      </c>
      <c r="B179" s="9">
        <v>0.482056160699321</v>
      </c>
      <c r="C179" s="9">
        <v>0.69430264344831716</v>
      </c>
      <c r="D179" s="9">
        <v>0.33469286666408549</v>
      </c>
      <c r="E179" s="9">
        <v>1.8888888888888844E-2</v>
      </c>
      <c r="F179" s="9">
        <v>0.33333333333333331</v>
      </c>
      <c r="G179" s="9">
        <v>0.62483352393163305</v>
      </c>
      <c r="N179" s="9">
        <f t="shared" si="17"/>
        <v>0.21833067913177298</v>
      </c>
      <c r="O179" s="9">
        <f t="shared" si="18"/>
        <v>3.1968657085003596</v>
      </c>
      <c r="P179" s="9">
        <f t="shared" si="19"/>
        <v>-3.2284722034748352</v>
      </c>
      <c r="Q179" s="9">
        <f t="shared" si="22"/>
        <v>0.55436687651711269</v>
      </c>
      <c r="R179" s="9">
        <f t="shared" si="22"/>
        <v>0.96071615775595787</v>
      </c>
      <c r="S179" s="9">
        <f t="shared" si="22"/>
        <v>3.8108210438891559E-2</v>
      </c>
      <c r="T179" s="9">
        <f t="shared" si="20"/>
        <v>0.61281261031891276</v>
      </c>
      <c r="U179" s="14">
        <f t="shared" si="23"/>
        <v>1.4450236408448385E-4</v>
      </c>
      <c r="W179" s="14">
        <f t="shared" si="21"/>
        <v>0.2893693938112451</v>
      </c>
      <c r="X179" s="16">
        <f t="shared" si="24"/>
        <v>1.9238586203059695</v>
      </c>
    </row>
    <row r="180" spans="1:24" x14ac:dyDescent="0.3">
      <c r="A180" s="9">
        <v>23</v>
      </c>
      <c r="B180" s="9">
        <v>0.44329834371454524</v>
      </c>
      <c r="C180" s="9">
        <v>0.66580653625099329</v>
      </c>
      <c r="D180" s="9">
        <v>0.29515093475438386</v>
      </c>
      <c r="E180" s="9">
        <v>1.2812500000000004E-2</v>
      </c>
      <c r="F180" s="9">
        <v>0.33333333333333331</v>
      </c>
      <c r="G180" s="9">
        <v>0.60792833802661606</v>
      </c>
      <c r="N180" s="9">
        <f t="shared" si="17"/>
        <v>0.19320893046108581</v>
      </c>
      <c r="O180" s="9">
        <f t="shared" si="18"/>
        <v>2.9707166141385999</v>
      </c>
      <c r="P180" s="9">
        <f t="shared" si="19"/>
        <v>-3.3102457717217204</v>
      </c>
      <c r="Q180" s="9">
        <f t="shared" si="22"/>
        <v>0.5481525324657307</v>
      </c>
      <c r="R180" s="9">
        <f t="shared" si="22"/>
        <v>0.95123353026504343</v>
      </c>
      <c r="S180" s="9">
        <f t="shared" si="22"/>
        <v>3.5221366726723123E-2</v>
      </c>
      <c r="T180" s="9">
        <f t="shared" si="20"/>
        <v>0.61505251119571924</v>
      </c>
      <c r="U180" s="14">
        <f t="shared" si="23"/>
        <v>5.0753843343369748E-5</v>
      </c>
      <c r="W180" s="14">
        <f t="shared" si="21"/>
        <v>0.30784281470799157</v>
      </c>
      <c r="X180" s="16">
        <f t="shared" si="24"/>
        <v>1.1718771314771774</v>
      </c>
    </row>
    <row r="181" spans="1:24" x14ac:dyDescent="0.3">
      <c r="A181" s="9">
        <v>24</v>
      </c>
      <c r="B181" s="9">
        <v>0.75641498946707786</v>
      </c>
      <c r="C181" s="9">
        <v>0.86972121364669375</v>
      </c>
      <c r="D181" s="9">
        <v>0.65787016265985809</v>
      </c>
      <c r="E181" s="9">
        <v>0.24222222222222223</v>
      </c>
      <c r="F181" s="9">
        <v>0.33333333333333331</v>
      </c>
      <c r="G181" s="9">
        <v>0.96615266662475896</v>
      </c>
      <c r="N181" s="9">
        <f t="shared" si="17"/>
        <v>0.96649994595306177</v>
      </c>
      <c r="O181" s="9">
        <f t="shared" si="18"/>
        <v>5.1388190540750838</v>
      </c>
      <c r="P181" s="9">
        <f t="shared" si="19"/>
        <v>-2.2836288206518693</v>
      </c>
      <c r="Q181" s="9">
        <f t="shared" si="22"/>
        <v>0.72442131336813453</v>
      </c>
      <c r="R181" s="9">
        <f t="shared" si="22"/>
        <v>0.99416958172317205</v>
      </c>
      <c r="S181" s="9">
        <f t="shared" si="22"/>
        <v>9.2487921283999019E-2</v>
      </c>
      <c r="T181" s="9">
        <f t="shared" si="20"/>
        <v>0.96586743661266594</v>
      </c>
      <c r="U181" s="14">
        <f t="shared" si="23"/>
        <v>8.1356159798583455E-8</v>
      </c>
      <c r="W181" s="14">
        <f t="shared" si="21"/>
        <v>3.8656088314908923E-2</v>
      </c>
      <c r="X181" s="16">
        <f t="shared" si="24"/>
        <v>2.9522250669706845E-2</v>
      </c>
    </row>
    <row r="182" spans="1:24" x14ac:dyDescent="0.3">
      <c r="A182" s="9">
        <v>25</v>
      </c>
      <c r="B182" s="9">
        <v>0.84330333318766382</v>
      </c>
      <c r="C182" s="9">
        <v>0.91831548674062113</v>
      </c>
      <c r="D182" s="9">
        <v>0.77441851088621827</v>
      </c>
      <c r="E182" s="9">
        <v>0.32624999999999993</v>
      </c>
      <c r="F182" s="9">
        <v>0.33333333333333331</v>
      </c>
      <c r="G182" s="9">
        <v>1.1008342035429799</v>
      </c>
      <c r="N182" s="9">
        <f t="shared" si="17"/>
        <v>1.2410602245548059</v>
      </c>
      <c r="O182" s="9">
        <f t="shared" si="18"/>
        <v>5.8614423072765049</v>
      </c>
      <c r="P182" s="9">
        <f t="shared" si="19"/>
        <v>-1.9904567614110835</v>
      </c>
      <c r="Q182" s="9">
        <f t="shared" si="22"/>
        <v>0.77574850777971283</v>
      </c>
      <c r="R182" s="9">
        <f t="shared" si="22"/>
        <v>0.9971609488823584</v>
      </c>
      <c r="S182" s="9">
        <f t="shared" si="22"/>
        <v>0.12020854770711312</v>
      </c>
      <c r="T182" s="9">
        <f t="shared" si="20"/>
        <v>1.0996093490931182</v>
      </c>
      <c r="U182" s="14">
        <f t="shared" si="23"/>
        <v>1.500268423345874E-6</v>
      </c>
      <c r="W182" s="14">
        <f t="shared" si="21"/>
        <v>3.835322337761926E-3</v>
      </c>
      <c r="X182" s="16">
        <f t="shared" si="24"/>
        <v>0.11126602406788529</v>
      </c>
    </row>
    <row r="183" spans="1:24" x14ac:dyDescent="0.3">
      <c r="A183" s="9">
        <v>26</v>
      </c>
      <c r="B183" s="9">
        <v>0.82722243711388821</v>
      </c>
      <c r="C183" s="9">
        <v>0.90951769477778055</v>
      </c>
      <c r="D183" s="9">
        <v>0.75237344407228135</v>
      </c>
      <c r="E183" s="9">
        <v>0.17000000000000004</v>
      </c>
      <c r="F183" s="9">
        <v>0.33333333333333331</v>
      </c>
      <c r="G183" s="9">
        <v>0.83355834818013497</v>
      </c>
      <c r="N183" s="9">
        <f t="shared" si="17"/>
        <v>0.72804546730866682</v>
      </c>
      <c r="O183" s="9">
        <f t="shared" si="18"/>
        <v>5.7498320429507555</v>
      </c>
      <c r="P183" s="9">
        <f t="shared" si="19"/>
        <v>-2.5130491657461951</v>
      </c>
      <c r="Q183" s="9">
        <f t="shared" si="22"/>
        <v>0.67437621738134512</v>
      </c>
      <c r="R183" s="9">
        <f t="shared" si="22"/>
        <v>0.99682678592938057</v>
      </c>
      <c r="S183" s="9">
        <f t="shared" si="22"/>
        <v>7.4948433087491634E-2</v>
      </c>
      <c r="T183" s="9">
        <f t="shared" si="20"/>
        <v>0.83565455973101055</v>
      </c>
      <c r="U183" s="14">
        <f t="shared" si="23"/>
        <v>4.3941028660242124E-6</v>
      </c>
      <c r="W183" s="14">
        <f t="shared" si="21"/>
        <v>0.10837648158490316</v>
      </c>
      <c r="X183" s="16">
        <f t="shared" si="24"/>
        <v>0.25147748270437609</v>
      </c>
    </row>
    <row r="184" spans="1:24" x14ac:dyDescent="0.3">
      <c r="A184" s="9">
        <v>27</v>
      </c>
      <c r="B184" s="9">
        <v>0.79294453563825062</v>
      </c>
      <c r="C184" s="9">
        <v>0.8904743318244781</v>
      </c>
      <c r="D184" s="9">
        <v>0.70609675554634266</v>
      </c>
      <c r="E184" s="9">
        <v>0.11531250000000004</v>
      </c>
      <c r="F184" s="9">
        <v>0.33333333333333331</v>
      </c>
      <c r="G184" s="9">
        <v>0.737549421136664</v>
      </c>
      <c r="N184" s="9">
        <f t="shared" si="17"/>
        <v>0.5490635039001529</v>
      </c>
      <c r="O184" s="9">
        <f t="shared" si="18"/>
        <v>5.4664951414578109</v>
      </c>
      <c r="P184" s="9">
        <f t="shared" si="19"/>
        <v>-2.6998089880738565</v>
      </c>
      <c r="Q184" s="9">
        <f t="shared" si="22"/>
        <v>0.63391828947680173</v>
      </c>
      <c r="R184" s="9">
        <f t="shared" si="22"/>
        <v>0.99579176624416887</v>
      </c>
      <c r="S184" s="9">
        <f t="shared" si="22"/>
        <v>6.2984628174747051E-2</v>
      </c>
      <c r="T184" s="9">
        <f t="shared" si="20"/>
        <v>0.73922376292609615</v>
      </c>
      <c r="U184" s="14">
        <f t="shared" si="23"/>
        <v>2.803420427838869E-6</v>
      </c>
      <c r="W184" s="14">
        <f t="shared" si="21"/>
        <v>0.18080759358438067</v>
      </c>
      <c r="X184" s="16">
        <f t="shared" si="24"/>
        <v>0.22701418256850717</v>
      </c>
    </row>
    <row r="185" spans="1:24" x14ac:dyDescent="0.3">
      <c r="A185" s="9">
        <v>28</v>
      </c>
      <c r="B185" s="9">
        <v>0.72336966320800022</v>
      </c>
      <c r="C185" s="9">
        <v>0.8505114127441209</v>
      </c>
      <c r="D185" s="9">
        <v>0.61523415419127547</v>
      </c>
      <c r="E185" s="9">
        <v>9.9999999999999978E-2</v>
      </c>
      <c r="F185" s="9">
        <v>0.33333333333333331</v>
      </c>
      <c r="G185" s="9">
        <v>0.71479790369936302</v>
      </c>
      <c r="N185" s="9">
        <f t="shared" si="17"/>
        <v>0.49906467894229978</v>
      </c>
      <c r="O185" s="9">
        <f t="shared" si="18"/>
        <v>4.8963359562557951</v>
      </c>
      <c r="P185" s="9">
        <f t="shared" si="19"/>
        <v>-2.7674087534500389</v>
      </c>
      <c r="Q185" s="9">
        <f t="shared" si="22"/>
        <v>0.62223950211826318</v>
      </c>
      <c r="R185" s="9">
        <f t="shared" si="22"/>
        <v>0.99258152733023008</v>
      </c>
      <c r="S185" s="9">
        <f t="shared" si="22"/>
        <v>5.9110965921078146E-2</v>
      </c>
      <c r="T185" s="9">
        <f t="shared" si="20"/>
        <v>0.71660386875920301</v>
      </c>
      <c r="U185" s="14">
        <f t="shared" si="23"/>
        <v>3.2615097973628472E-6</v>
      </c>
      <c r="W185" s="14">
        <f t="shared" si="21"/>
        <v>0.20067378726180968</v>
      </c>
      <c r="X185" s="16">
        <f t="shared" si="24"/>
        <v>0.25265393903555122</v>
      </c>
    </row>
    <row r="186" spans="1:24" x14ac:dyDescent="0.3">
      <c r="A186" s="9">
        <v>29</v>
      </c>
      <c r="B186" s="9">
        <v>0.90058022766249946</v>
      </c>
      <c r="C186" s="9">
        <v>0.94898905560733393</v>
      </c>
      <c r="D186" s="9">
        <v>0.85464077974807318</v>
      </c>
      <c r="E186" s="9">
        <v>0.39999999999999991</v>
      </c>
      <c r="F186" s="9">
        <v>0.33333333333333331</v>
      </c>
      <c r="G186" s="9">
        <v>1.2084879916107001</v>
      </c>
      <c r="N186" s="9">
        <f t="shared" si="17"/>
        <v>1.4811491744293777</v>
      </c>
      <c r="O186" s="9">
        <f t="shared" si="18"/>
        <v>6.3584627890526848</v>
      </c>
      <c r="P186" s="9">
        <f t="shared" si="19"/>
        <v>-1.7431093034870413</v>
      </c>
      <c r="Q186" s="9">
        <f t="shared" si="22"/>
        <v>0.81474609397071474</v>
      </c>
      <c r="R186" s="9">
        <f t="shared" si="22"/>
        <v>0.9982709675735113</v>
      </c>
      <c r="S186" s="9">
        <f t="shared" si="22"/>
        <v>0.14891842569787561</v>
      </c>
      <c r="T186" s="9">
        <f t="shared" si="20"/>
        <v>1.2124648169337713</v>
      </c>
      <c r="U186" s="14">
        <f t="shared" si="23"/>
        <v>1.581513965022034E-5</v>
      </c>
      <c r="W186" s="14">
        <f t="shared" si="21"/>
        <v>2.0906666869988611E-3</v>
      </c>
      <c r="X186" s="16">
        <f t="shared" si="24"/>
        <v>0.329074459215006</v>
      </c>
    </row>
    <row r="187" spans="1:24" x14ac:dyDescent="0.3">
      <c r="A187" s="9">
        <v>30</v>
      </c>
      <c r="B187" s="9">
        <v>0.93966736106488868</v>
      </c>
      <c r="C187" s="9">
        <v>0.96936441087182934</v>
      </c>
      <c r="D187" s="9">
        <v>0.91088009787415281</v>
      </c>
      <c r="E187" s="9">
        <v>0.47222222222222221</v>
      </c>
      <c r="F187" s="9">
        <v>0.33333333333333331</v>
      </c>
      <c r="G187" s="9">
        <v>1.3190225671403</v>
      </c>
      <c r="N187" s="9">
        <f t="shared" si="17"/>
        <v>1.7164270570579307</v>
      </c>
      <c r="O187" s="9">
        <f t="shared" si="18"/>
        <v>6.7039177353368666</v>
      </c>
      <c r="P187" s="9">
        <f t="shared" si="19"/>
        <v>-1.5037530481955752</v>
      </c>
      <c r="Q187" s="9">
        <f t="shared" si="22"/>
        <v>0.84766804607409252</v>
      </c>
      <c r="R187" s="9">
        <f t="shared" si="22"/>
        <v>0.9987754025279646</v>
      </c>
      <c r="S187" s="9">
        <f t="shared" si="22"/>
        <v>0.18186643699986882</v>
      </c>
      <c r="T187" s="9">
        <f t="shared" si="20"/>
        <v>1.3187920638524893</v>
      </c>
      <c r="U187" s="14">
        <f t="shared" si="23"/>
        <v>5.3131765691548261E-8</v>
      </c>
      <c r="W187" s="14">
        <f t="shared" si="21"/>
        <v>2.4416682659011719E-2</v>
      </c>
      <c r="X187" s="16">
        <f t="shared" si="24"/>
        <v>1.7475310396732193E-2</v>
      </c>
    </row>
    <row r="188" spans="1:24" x14ac:dyDescent="0.3">
      <c r="A188" s="9">
        <v>31</v>
      </c>
      <c r="B188" s="9">
        <v>0.93311773293603162</v>
      </c>
      <c r="C188" s="9">
        <v>0.96598019282800607</v>
      </c>
      <c r="D188" s="9">
        <v>0.90137324759278015</v>
      </c>
      <c r="E188" s="9">
        <v>0.3203125</v>
      </c>
      <c r="F188" s="9">
        <v>0.33333333333333331</v>
      </c>
      <c r="G188" s="9">
        <v>1.08812468601701</v>
      </c>
      <c r="N188" s="9">
        <f t="shared" si="17"/>
        <v>1.2175806003031673</v>
      </c>
      <c r="O188" s="9">
        <f t="shared" si="18"/>
        <v>6.6708367861321003</v>
      </c>
      <c r="P188" s="9">
        <f t="shared" si="19"/>
        <v>-2.0101922447790699</v>
      </c>
      <c r="Q188" s="9">
        <f t="shared" si="22"/>
        <v>0.77163749978928386</v>
      </c>
      <c r="R188" s="9">
        <f t="shared" si="22"/>
        <v>0.99873426629571693</v>
      </c>
      <c r="S188" s="9">
        <f t="shared" si="22"/>
        <v>0.11813694816064753</v>
      </c>
      <c r="T188" s="9">
        <f t="shared" si="20"/>
        <v>1.0855169948803893</v>
      </c>
      <c r="U188" s="14">
        <f t="shared" si="23"/>
        <v>6.8000530640097768E-6</v>
      </c>
      <c r="W188" s="14">
        <f t="shared" si="21"/>
        <v>5.5710544884388638E-3</v>
      </c>
      <c r="X188" s="16">
        <f t="shared" si="24"/>
        <v>0.23965003001318383</v>
      </c>
    </row>
    <row r="189" spans="1:24" x14ac:dyDescent="0.3">
      <c r="A189" s="9">
        <v>32</v>
      </c>
      <c r="B189" s="9">
        <v>0.67803485561868637</v>
      </c>
      <c r="C189" s="9">
        <v>0.82342871920931104</v>
      </c>
      <c r="D189" s="9">
        <v>0.55831337274136517</v>
      </c>
      <c r="E189" s="9">
        <v>6.0816326530612308E-2</v>
      </c>
      <c r="F189" s="9">
        <v>0.33333333333333331</v>
      </c>
      <c r="G189" s="9">
        <v>0.65042070794096596</v>
      </c>
      <c r="N189" s="9">
        <f t="shared" si="17"/>
        <v>0.36958228560607453</v>
      </c>
      <c r="O189" s="9">
        <f t="shared" si="18"/>
        <v>4.5472437644453816</v>
      </c>
      <c r="P189" s="9">
        <f t="shared" si="19"/>
        <v>-2.9157730031190354</v>
      </c>
      <c r="Q189" s="9">
        <f t="shared" si="22"/>
        <v>0.59135804005382131</v>
      </c>
      <c r="R189" s="9">
        <f t="shared" si="22"/>
        <v>0.9895147354813123</v>
      </c>
      <c r="S189" s="9">
        <f t="shared" si="22"/>
        <v>5.1379332368255939E-2</v>
      </c>
      <c r="T189" s="9">
        <f t="shared" si="20"/>
        <v>0.64910309568499858</v>
      </c>
      <c r="U189" s="14">
        <f t="shared" si="23"/>
        <v>1.7361020570754536E-6</v>
      </c>
      <c r="W189" s="14">
        <f t="shared" si="21"/>
        <v>0.26249583628843259</v>
      </c>
      <c r="X189" s="16">
        <f t="shared" si="24"/>
        <v>0.20257846035353663</v>
      </c>
    </row>
    <row r="190" spans="1:24" x14ac:dyDescent="0.3">
      <c r="A190" s="9">
        <v>33</v>
      </c>
      <c r="B190" s="9">
        <v>0.89158042542455807</v>
      </c>
      <c r="C190" s="9">
        <v>0.94423536548074616</v>
      </c>
      <c r="D190" s="9">
        <v>0.8418617688562372</v>
      </c>
      <c r="E190" s="9">
        <v>0.2432653061224489</v>
      </c>
      <c r="F190" s="9">
        <v>0.33333333333333331</v>
      </c>
      <c r="G190" s="9">
        <v>0.96222261458789804</v>
      </c>
      <c r="N190" s="9">
        <f t="shared" si="17"/>
        <v>0.96649055321048405</v>
      </c>
      <c r="O190" s="9">
        <f t="shared" si="18"/>
        <v>6.3055018120400028</v>
      </c>
      <c r="P190" s="9">
        <f t="shared" si="19"/>
        <v>-2.2659319874917339</v>
      </c>
      <c r="Q190" s="9">
        <f t="shared" si="22"/>
        <v>0.72441943824332133</v>
      </c>
      <c r="R190" s="9">
        <f t="shared" si="22"/>
        <v>0.99817709951984768</v>
      </c>
      <c r="S190" s="9">
        <f t="shared" si="22"/>
        <v>9.3984036054922573E-2</v>
      </c>
      <c r="T190" s="9">
        <f t="shared" si="20"/>
        <v>0.95975880981961026</v>
      </c>
      <c r="U190" s="14">
        <f t="shared" si="23"/>
        <v>6.0703339362376042E-6</v>
      </c>
      <c r="W190" s="14">
        <f t="shared" si="21"/>
        <v>4.0216920603594393E-2</v>
      </c>
      <c r="X190" s="16">
        <f t="shared" si="24"/>
        <v>0.25605350892142376</v>
      </c>
    </row>
    <row r="191" spans="1:24" x14ac:dyDescent="0.3">
      <c r="A191" s="9">
        <v>34</v>
      </c>
      <c r="B191" s="9">
        <v>0.96611717808573394</v>
      </c>
      <c r="C191" s="9">
        <v>0.98291259941346465</v>
      </c>
      <c r="D191" s="9">
        <v>0.94960874685025021</v>
      </c>
      <c r="E191" s="9">
        <v>0.54734693877551011</v>
      </c>
      <c r="F191" s="9">
        <v>0.33333333333333331</v>
      </c>
      <c r="G191" s="9">
        <v>1.4260685936030399</v>
      </c>
      <c r="N191" s="9">
        <f t="shared" si="17"/>
        <v>1.9616885069171006</v>
      </c>
      <c r="O191" s="9">
        <f t="shared" si="18"/>
        <v>6.9374476097008309</v>
      </c>
      <c r="P191" s="9">
        <f t="shared" si="19"/>
        <v>-1.2551337577948418</v>
      </c>
      <c r="Q191" s="9">
        <f t="shared" si="22"/>
        <v>0.87671557146170809</v>
      </c>
      <c r="R191" s="9">
        <f t="shared" si="22"/>
        <v>0.99903019727456344</v>
      </c>
      <c r="S191" s="9">
        <f t="shared" si="22"/>
        <v>0.2218127260370345</v>
      </c>
      <c r="T191" s="9">
        <f t="shared" si="20"/>
        <v>1.4257213159736284</v>
      </c>
      <c r="U191" s="14">
        <f t="shared" si="23"/>
        <v>1.2060175188971113E-7</v>
      </c>
      <c r="W191" s="14">
        <f t="shared" si="21"/>
        <v>6.9329212718629823E-2</v>
      </c>
      <c r="X191" s="16">
        <f t="shared" si="24"/>
        <v>2.4352098557485356E-2</v>
      </c>
    </row>
    <row r="192" spans="1:24" x14ac:dyDescent="0.3">
      <c r="A192" s="9">
        <v>35</v>
      </c>
      <c r="B192" s="9">
        <v>0.98325960470347551</v>
      </c>
      <c r="C192" s="9">
        <v>0.99159447593432848</v>
      </c>
      <c r="D192" s="9">
        <v>0.97499479243333798</v>
      </c>
      <c r="E192" s="9">
        <v>0.62781249999999988</v>
      </c>
      <c r="F192" s="9">
        <v>0.33333333333333331</v>
      </c>
      <c r="G192" s="9">
        <v>1.5367615429222099</v>
      </c>
      <c r="N192" s="9">
        <f t="shared" si="17"/>
        <v>2.2249793277305847</v>
      </c>
      <c r="O192" s="9">
        <f t="shared" si="18"/>
        <v>7.0849368078367547</v>
      </c>
      <c r="P192" s="9">
        <f t="shared" si="19"/>
        <v>-0.9883344900560429</v>
      </c>
      <c r="Q192" s="9">
        <f t="shared" si="22"/>
        <v>0.90247034345033728</v>
      </c>
      <c r="R192" s="9">
        <f t="shared" si="22"/>
        <v>0.99916307331586696</v>
      </c>
      <c r="S192" s="9">
        <f t="shared" si="22"/>
        <v>0.27124117253884894</v>
      </c>
      <c r="T192" s="9">
        <f t="shared" si="20"/>
        <v>1.5371263295094888</v>
      </c>
      <c r="U192" s="14">
        <f t="shared" si="23"/>
        <v>1.3306925425858508E-7</v>
      </c>
      <c r="W192" s="14">
        <f t="shared" si="21"/>
        <v>0.13987402533618731</v>
      </c>
      <c r="X192" s="16">
        <f t="shared" si="24"/>
        <v>2.3737357884766077E-2</v>
      </c>
    </row>
    <row r="193" spans="1:24" x14ac:dyDescent="0.3">
      <c r="A193" s="9">
        <v>36</v>
      </c>
      <c r="B193" s="9">
        <v>0.63822315837842447</v>
      </c>
      <c r="C193" s="9">
        <v>0.79888870212215701</v>
      </c>
      <c r="D193" s="9">
        <v>0.50986927066124366</v>
      </c>
      <c r="E193" s="9">
        <v>4.4691358024691374E-2</v>
      </c>
      <c r="F193" s="9">
        <v>0.33333333333333331</v>
      </c>
      <c r="G193" s="9">
        <v>0.62867303133979202</v>
      </c>
      <c r="N193" s="9">
        <f t="shared" si="17"/>
        <v>0.31530287081392261</v>
      </c>
      <c r="O193" s="9">
        <f t="shared" si="18"/>
        <v>4.2493194928649292</v>
      </c>
      <c r="P193" s="9">
        <f t="shared" si="19"/>
        <v>-2.9905475328334763</v>
      </c>
      <c r="Q193" s="9">
        <f t="shared" si="22"/>
        <v>0.57817910119839833</v>
      </c>
      <c r="R193" s="9">
        <f t="shared" si="22"/>
        <v>0.9859269340317931</v>
      </c>
      <c r="S193" s="9">
        <f t="shared" si="22"/>
        <v>4.7854735525446564E-2</v>
      </c>
      <c r="T193" s="9">
        <f t="shared" si="20"/>
        <v>0.62450135636983095</v>
      </c>
      <c r="U193" s="14">
        <f t="shared" si="23"/>
        <v>1.7402872054999695E-5</v>
      </c>
      <c r="W193" s="14">
        <f t="shared" si="21"/>
        <v>0.2852533581283474</v>
      </c>
      <c r="X193" s="16">
        <f t="shared" si="24"/>
        <v>0.66356830371276387</v>
      </c>
    </row>
    <row r="194" spans="1:24" x14ac:dyDescent="0.3">
      <c r="A194" s="9">
        <v>37</v>
      </c>
      <c r="B194" s="9">
        <v>0.86512518623928769</v>
      </c>
      <c r="C194" s="9">
        <v>0.93012105999127204</v>
      </c>
      <c r="D194" s="9">
        <v>0.80467115525003297</v>
      </c>
      <c r="E194" s="9">
        <v>0.17876543209876539</v>
      </c>
      <c r="F194" s="9">
        <v>0.33333333333333331</v>
      </c>
      <c r="G194" s="9">
        <v>0.846815574830731</v>
      </c>
      <c r="N194" s="9">
        <f t="shared" ref="N194:N257" si="25">B194*$I$1+C194*$J$1+D194*$K$1+E194*$L$1+F194*$M$1+$I$4</f>
        <v>0.7556244933744779</v>
      </c>
      <c r="O194" s="9">
        <f t="shared" ref="O194:O257" si="26">$I$2*B194+$J$2*C194+$K$2*D194+$L$2*E194+$M$2*F194+$I$5</f>
        <v>6.0805009725796495</v>
      </c>
      <c r="P194" s="9">
        <f t="shared" ref="P194:P257" si="27">$I$3*B194+$J$3*C194+$K$3*D194+$L$3*E194+$M$3*F194+$I$6</f>
        <v>-2.4814616622748744</v>
      </c>
      <c r="Q194" s="9">
        <f t="shared" si="22"/>
        <v>0.68040301104802003</v>
      </c>
      <c r="R194" s="9">
        <f t="shared" si="22"/>
        <v>0.9977181879477971</v>
      </c>
      <c r="S194" s="9">
        <f t="shared" si="22"/>
        <v>7.7168048223150737E-2</v>
      </c>
      <c r="T194" s="9">
        <f t="shared" ref="T194:T257" si="28">$I$7*Q194+$J$7*R194+$K$7*S194+$I$8</f>
        <v>0.84908634635883229</v>
      </c>
      <c r="U194" s="14">
        <f t="shared" si="23"/>
        <v>5.156403332835466E-6</v>
      </c>
      <c r="W194" s="14">
        <f t="shared" ref="W194:W257" si="29">(G194-$V$4)^2</f>
        <v>9.9823522913364382E-2</v>
      </c>
      <c r="X194" s="16">
        <f t="shared" si="24"/>
        <v>0.26815419975656346</v>
      </c>
    </row>
    <row r="195" spans="1:24" x14ac:dyDescent="0.3">
      <c r="A195" s="9">
        <v>38</v>
      </c>
      <c r="B195" s="9">
        <v>0.9598686322313662</v>
      </c>
      <c r="C195" s="9">
        <v>0.97972885648600039</v>
      </c>
      <c r="D195" s="9">
        <v>0.94041099743281709</v>
      </c>
      <c r="E195" s="9">
        <v>0.40222222222222215</v>
      </c>
      <c r="F195" s="9">
        <v>0.33333333333333331</v>
      </c>
      <c r="G195" s="9">
        <v>1.2090252583471199</v>
      </c>
      <c r="N195" s="9">
        <f t="shared" si="25"/>
        <v>1.4851642962951199</v>
      </c>
      <c r="O195" s="9">
        <f t="shared" si="26"/>
        <v>6.9050668131069264</v>
      </c>
      <c r="P195" s="9">
        <f t="shared" si="27"/>
        <v>-1.7387857879134314</v>
      </c>
      <c r="Q195" s="9">
        <f t="shared" ref="Q195:S258" si="30">1/(1+EXP(-N195))</f>
        <v>0.81535135027117989</v>
      </c>
      <c r="R195" s="9">
        <f t="shared" si="30"/>
        <v>0.99899831230128477</v>
      </c>
      <c r="S195" s="9">
        <f t="shared" si="30"/>
        <v>0.14946722770884996</v>
      </c>
      <c r="T195" s="9">
        <f t="shared" si="28"/>
        <v>1.212944969687922</v>
      </c>
      <c r="U195" s="14">
        <f t="shared" ref="U195:U258" si="31">(G195-T195)^2</f>
        <v>1.5364136995212172E-5</v>
      </c>
      <c r="W195" s="14">
        <f t="shared" si="29"/>
        <v>2.1400871055571296E-3</v>
      </c>
      <c r="X195" s="16">
        <f t="shared" ref="X195:X258" si="32">100*ABS((T195-G195)/G195)</f>
        <v>0.32420425576226203</v>
      </c>
    </row>
    <row r="196" spans="1:24" x14ac:dyDescent="0.3">
      <c r="A196" s="9">
        <v>39</v>
      </c>
      <c r="B196" s="9">
        <v>0.99334100566047745</v>
      </c>
      <c r="C196" s="9">
        <v>0.99666494152271545</v>
      </c>
      <c r="D196" s="9">
        <v>0.99002815531871613</v>
      </c>
      <c r="E196" s="9">
        <v>0.71506172839506177</v>
      </c>
      <c r="F196" s="9">
        <v>0.33333333333333331</v>
      </c>
      <c r="G196" s="9">
        <v>1.6572291873268701</v>
      </c>
      <c r="N196" s="9">
        <f t="shared" si="25"/>
        <v>2.511000859539219</v>
      </c>
      <c r="O196" s="9">
        <f t="shared" si="26"/>
        <v>7.1651169156421552</v>
      </c>
      <c r="P196" s="9">
        <f t="shared" si="27"/>
        <v>-0.69833389202761431</v>
      </c>
      <c r="Q196" s="9">
        <f t="shared" si="30"/>
        <v>0.92490943175769491</v>
      </c>
      <c r="R196" s="9">
        <f t="shared" si="30"/>
        <v>0.99922750861823761</v>
      </c>
      <c r="S196" s="9">
        <f t="shared" si="30"/>
        <v>0.33218172887334069</v>
      </c>
      <c r="T196" s="9">
        <f t="shared" si="28"/>
        <v>1.6552326861577031</v>
      </c>
      <c r="U196" s="14">
        <f t="shared" si="31"/>
        <v>3.9860169184849664E-6</v>
      </c>
      <c r="W196" s="14">
        <f t="shared" si="29"/>
        <v>0.24449564064597173</v>
      </c>
      <c r="X196" s="16">
        <f t="shared" si="32"/>
        <v>0.12047224273109272</v>
      </c>
    </row>
    <row r="197" spans="1:24" x14ac:dyDescent="0.3">
      <c r="A197" s="9">
        <v>1</v>
      </c>
      <c r="B197" s="9">
        <v>1</v>
      </c>
      <c r="C197" s="9">
        <v>1</v>
      </c>
      <c r="D197" s="9">
        <v>1</v>
      </c>
      <c r="E197" s="9">
        <v>1</v>
      </c>
      <c r="F197" s="9">
        <v>0.5</v>
      </c>
      <c r="G197" s="9">
        <v>2.0196961382382401</v>
      </c>
      <c r="N197" s="9">
        <f t="shared" si="25"/>
        <v>3.4622135423875746</v>
      </c>
      <c r="O197" s="9">
        <f t="shared" si="26"/>
        <v>7.0682872718902239</v>
      </c>
      <c r="P197" s="9">
        <f t="shared" si="27"/>
        <v>0.257296889722884</v>
      </c>
      <c r="Q197" s="9">
        <f t="shared" si="30"/>
        <v>0.96959329457611487</v>
      </c>
      <c r="R197" s="9">
        <f t="shared" si="30"/>
        <v>0.99914903418448708</v>
      </c>
      <c r="S197" s="9">
        <f t="shared" si="30"/>
        <v>0.56397169171000605</v>
      </c>
      <c r="T197" s="9">
        <f t="shared" si="28"/>
        <v>2.0202157928592546</v>
      </c>
      <c r="U197" s="14">
        <f t="shared" si="31"/>
        <v>2.7004092514166395E-7</v>
      </c>
      <c r="W197" s="14">
        <f t="shared" si="29"/>
        <v>0.73433237615452629</v>
      </c>
      <c r="X197" s="16">
        <f t="shared" si="32"/>
        <v>2.5729346666361994E-2</v>
      </c>
    </row>
    <row r="198" spans="1:24" x14ac:dyDescent="0.3">
      <c r="A198" s="9">
        <v>2</v>
      </c>
      <c r="B198" s="9">
        <v>0.99805795702633637</v>
      </c>
      <c r="C198" s="9">
        <v>0.99902850661346809</v>
      </c>
      <c r="D198" s="9">
        <v>0.9970883503217095</v>
      </c>
      <c r="E198" s="9">
        <v>0.90500000000000003</v>
      </c>
      <c r="F198" s="9">
        <v>0.5</v>
      </c>
      <c r="G198" s="9">
        <v>1.9029372724018501</v>
      </c>
      <c r="N198" s="9">
        <f t="shared" si="25"/>
        <v>3.1501561911624982</v>
      </c>
      <c r="O198" s="9">
        <f t="shared" si="26"/>
        <v>7.0669263480144391</v>
      </c>
      <c r="P198" s="9">
        <f t="shared" si="27"/>
        <v>-5.9432154891636557E-2</v>
      </c>
      <c r="Q198" s="9">
        <f t="shared" si="30"/>
        <v>0.95891487572522816</v>
      </c>
      <c r="R198" s="9">
        <f t="shared" si="30"/>
        <v>0.99914787628390678</v>
      </c>
      <c r="S198" s="9">
        <f t="shared" si="30"/>
        <v>0.48514633317308081</v>
      </c>
      <c r="T198" s="9">
        <f t="shared" si="28"/>
        <v>1.905578241138232</v>
      </c>
      <c r="U198" s="14">
        <f t="shared" si="31"/>
        <v>6.9747158665470148E-6</v>
      </c>
      <c r="W198" s="14">
        <f t="shared" si="29"/>
        <v>0.54785620248724154</v>
      </c>
      <c r="X198" s="16">
        <f t="shared" si="32"/>
        <v>0.13878380410556559</v>
      </c>
    </row>
    <row r="199" spans="1:24" x14ac:dyDescent="0.3">
      <c r="A199" s="9">
        <v>3</v>
      </c>
      <c r="B199" s="9">
        <v>0.99152490614171707</v>
      </c>
      <c r="C199" s="9">
        <v>0.99575343641973801</v>
      </c>
      <c r="D199" s="9">
        <v>0.98731433258637347</v>
      </c>
      <c r="E199" s="9">
        <v>0.82000000000000006</v>
      </c>
      <c r="F199" s="9">
        <v>0.5</v>
      </c>
      <c r="G199" s="9">
        <v>1.7958013399791599</v>
      </c>
      <c r="N199" s="9">
        <f t="shared" si="25"/>
        <v>2.8712881629150422</v>
      </c>
      <c r="O199" s="9">
        <f t="shared" si="26"/>
        <v>7.0199208457335738</v>
      </c>
      <c r="P199" s="9">
        <f t="shared" si="27"/>
        <v>-0.3422801802358002</v>
      </c>
      <c r="Q199" s="9">
        <f t="shared" si="30"/>
        <v>0.94640872023863154</v>
      </c>
      <c r="R199" s="9">
        <f t="shared" si="30"/>
        <v>0.99910690209111752</v>
      </c>
      <c r="S199" s="9">
        <f t="shared" si="30"/>
        <v>0.41525570057199584</v>
      </c>
      <c r="T199" s="9">
        <f t="shared" si="28"/>
        <v>1.7976718674397836</v>
      </c>
      <c r="U199" s="14">
        <f t="shared" si="31"/>
        <v>3.4988729809472017E-6</v>
      </c>
      <c r="W199" s="14">
        <f t="shared" si="29"/>
        <v>0.40073604229805271</v>
      </c>
      <c r="X199" s="16">
        <f t="shared" si="32"/>
        <v>0.10416115741651959</v>
      </c>
    </row>
    <row r="200" spans="1:24" x14ac:dyDescent="0.3">
      <c r="A200" s="9">
        <v>4</v>
      </c>
      <c r="B200" s="9">
        <v>0.97911342554320058</v>
      </c>
      <c r="C200" s="9">
        <v>0.98950160461881032</v>
      </c>
      <c r="D200" s="9">
        <v>0.96883430567881712</v>
      </c>
      <c r="E200" s="9">
        <v>0.74500000000000011</v>
      </c>
      <c r="F200" s="9">
        <v>0.5</v>
      </c>
      <c r="G200" s="9">
        <v>1.7012168768976801</v>
      </c>
      <c r="N200" s="9">
        <f t="shared" si="25"/>
        <v>2.6256753570212004</v>
      </c>
      <c r="O200" s="9">
        <f t="shared" si="26"/>
        <v>6.9155117736124847</v>
      </c>
      <c r="P200" s="9">
        <f t="shared" si="27"/>
        <v>-0.5911898793932604</v>
      </c>
      <c r="Q200" s="9">
        <f t="shared" si="30"/>
        <v>0.93249583321731411</v>
      </c>
      <c r="R200" s="9">
        <f t="shared" si="30"/>
        <v>0.99900871012133785</v>
      </c>
      <c r="S200" s="9">
        <f t="shared" si="30"/>
        <v>0.35636188731762353</v>
      </c>
      <c r="T200" s="9">
        <f t="shared" si="28"/>
        <v>1.6998254608577001</v>
      </c>
      <c r="U200" s="14">
        <f t="shared" si="31"/>
        <v>1.9360385963134649E-6</v>
      </c>
      <c r="W200" s="14">
        <f t="shared" si="29"/>
        <v>0.28993130372030124</v>
      </c>
      <c r="X200" s="16">
        <f t="shared" si="32"/>
        <v>8.1789456645722514E-2</v>
      </c>
    </row>
    <row r="201" spans="1:24" x14ac:dyDescent="0.3">
      <c r="A201" s="9">
        <v>5</v>
      </c>
      <c r="B201" s="9">
        <v>0.95913394700955001</v>
      </c>
      <c r="C201" s="9">
        <v>0.97935384157593941</v>
      </c>
      <c r="D201" s="9">
        <v>0.93933151558969652</v>
      </c>
      <c r="E201" s="9">
        <v>0.67999999999999994</v>
      </c>
      <c r="F201" s="9">
        <v>0.5</v>
      </c>
      <c r="G201" s="9">
        <v>1.6055744824329801</v>
      </c>
      <c r="N201" s="9">
        <f t="shared" si="25"/>
        <v>2.4133708687069815</v>
      </c>
      <c r="O201" s="9">
        <f t="shared" si="26"/>
        <v>6.7389523657644528</v>
      </c>
      <c r="P201" s="9">
        <f t="shared" si="27"/>
        <v>-0.80621478417119086</v>
      </c>
      <c r="Q201" s="9">
        <f t="shared" si="30"/>
        <v>0.91784123300380605</v>
      </c>
      <c r="R201" s="9">
        <f t="shared" si="30"/>
        <v>0.99881751314307443</v>
      </c>
      <c r="S201" s="9">
        <f t="shared" si="30"/>
        <v>0.30869768825392824</v>
      </c>
      <c r="T201" s="9">
        <f t="shared" si="28"/>
        <v>1.6137699516033173</v>
      </c>
      <c r="U201" s="14">
        <f t="shared" si="31"/>
        <v>6.71657149219475E-5</v>
      </c>
      <c r="W201" s="14">
        <f t="shared" si="29"/>
        <v>0.19608096141109141</v>
      </c>
      <c r="X201" s="16">
        <f t="shared" si="32"/>
        <v>0.51043842936008388</v>
      </c>
    </row>
    <row r="202" spans="1:24" x14ac:dyDescent="0.3">
      <c r="A202" s="9">
        <v>6</v>
      </c>
      <c r="B202" s="9">
        <v>0.92929286340991557</v>
      </c>
      <c r="C202" s="9">
        <v>0.96399837313655024</v>
      </c>
      <c r="D202" s="9">
        <v>0.89583680849456471</v>
      </c>
      <c r="E202" s="9">
        <v>0.625</v>
      </c>
      <c r="F202" s="9">
        <v>0.5</v>
      </c>
      <c r="G202" s="9">
        <v>1.54318665881891</v>
      </c>
      <c r="N202" s="9">
        <f t="shared" si="25"/>
        <v>2.2343875379959175</v>
      </c>
      <c r="O202" s="9">
        <f t="shared" si="26"/>
        <v>6.4714183333118473</v>
      </c>
      <c r="P202" s="9">
        <f t="shared" si="27"/>
        <v>-0.98769447935520915</v>
      </c>
      <c r="Q202" s="9">
        <f t="shared" si="30"/>
        <v>0.90329530193971297</v>
      </c>
      <c r="R202" s="9">
        <f t="shared" si="30"/>
        <v>0.99845535963295273</v>
      </c>
      <c r="S202" s="9">
        <f t="shared" si="30"/>
        <v>0.27136770158990448</v>
      </c>
      <c r="T202" s="9">
        <f t="shared" si="28"/>
        <v>1.5403840340494426</v>
      </c>
      <c r="U202" s="14">
        <f t="shared" si="31"/>
        <v>7.854705598432565E-6</v>
      </c>
      <c r="W202" s="14">
        <f t="shared" si="29"/>
        <v>0.14472126021743864</v>
      </c>
      <c r="X202" s="16">
        <f t="shared" si="32"/>
        <v>0.18161281744183017</v>
      </c>
    </row>
    <row r="203" spans="1:24" x14ac:dyDescent="0.3">
      <c r="A203" s="9">
        <v>7</v>
      </c>
      <c r="B203" s="9">
        <v>0.88629579591014296</v>
      </c>
      <c r="C203" s="9">
        <v>0.94143284195429633</v>
      </c>
      <c r="D203" s="9">
        <v>0.83438796995583142</v>
      </c>
      <c r="E203" s="9">
        <v>0.58000000000000007</v>
      </c>
      <c r="F203" s="9">
        <v>0.5</v>
      </c>
      <c r="G203" s="9">
        <v>1.4784521279843199</v>
      </c>
      <c r="N203" s="9">
        <f t="shared" si="25"/>
        <v>2.088635996050793</v>
      </c>
      <c r="O203" s="9">
        <f t="shared" si="26"/>
        <v>6.0879881222169985</v>
      </c>
      <c r="P203" s="9">
        <f t="shared" si="27"/>
        <v>-1.1367071074575588</v>
      </c>
      <c r="Q203" s="9">
        <f t="shared" si="30"/>
        <v>0.88979374136358269</v>
      </c>
      <c r="R203" s="9">
        <f t="shared" si="30"/>
        <v>0.99773516987068167</v>
      </c>
      <c r="S203" s="9">
        <f t="shared" si="30"/>
        <v>0.24292545291116072</v>
      </c>
      <c r="T203" s="9">
        <f t="shared" si="28"/>
        <v>1.4802928100148105</v>
      </c>
      <c r="U203" s="14">
        <f t="shared" si="31"/>
        <v>3.3881103373709703E-6</v>
      </c>
      <c r="W203" s="14">
        <f t="shared" si="29"/>
        <v>9.9658878699082021E-2</v>
      </c>
      <c r="X203" s="16">
        <f t="shared" si="32"/>
        <v>0.12450061761554138</v>
      </c>
    </row>
    <row r="204" spans="1:24" x14ac:dyDescent="0.3">
      <c r="A204" s="9">
        <v>8</v>
      </c>
      <c r="B204" s="9">
        <v>0.82493648944805331</v>
      </c>
      <c r="C204" s="9">
        <v>0.90826014414816936</v>
      </c>
      <c r="D204" s="9">
        <v>0.74925693481917366</v>
      </c>
      <c r="E204" s="9">
        <v>0.54499999999999993</v>
      </c>
      <c r="F204" s="9">
        <v>0.5</v>
      </c>
      <c r="G204" s="9">
        <v>1.43712995349689</v>
      </c>
      <c r="N204" s="9">
        <f t="shared" si="25"/>
        <v>1.975767268825052</v>
      </c>
      <c r="O204" s="9">
        <f t="shared" si="26"/>
        <v>5.5531933259356432</v>
      </c>
      <c r="P204" s="9">
        <f t="shared" si="27"/>
        <v>-1.256386727408815</v>
      </c>
      <c r="Q204" s="9">
        <f t="shared" si="30"/>
        <v>0.87822922680849402</v>
      </c>
      <c r="R204" s="9">
        <f t="shared" si="30"/>
        <v>0.99613989502524836</v>
      </c>
      <c r="S204" s="9">
        <f t="shared" si="30"/>
        <v>0.22159652403344346</v>
      </c>
      <c r="T204" s="9">
        <f t="shared" si="28"/>
        <v>1.4342943311701979</v>
      </c>
      <c r="U204" s="14">
        <f t="shared" si="31"/>
        <v>8.0407539796347176E-6</v>
      </c>
      <c r="W204" s="14">
        <f t="shared" si="29"/>
        <v>7.5276576099144274E-2</v>
      </c>
      <c r="X204" s="16">
        <f t="shared" si="32"/>
        <v>0.19731147623722789</v>
      </c>
    </row>
    <row r="205" spans="1:24" x14ac:dyDescent="0.3">
      <c r="A205" s="9">
        <v>9</v>
      </c>
      <c r="B205" s="9">
        <v>0.73549094564436945</v>
      </c>
      <c r="C205" s="9">
        <v>0.85760768749141325</v>
      </c>
      <c r="D205" s="9">
        <v>0.63076268906494071</v>
      </c>
      <c r="E205" s="9">
        <v>0.52</v>
      </c>
      <c r="F205" s="9">
        <v>0.5</v>
      </c>
      <c r="G205" s="9">
        <v>1.4046936673770201</v>
      </c>
      <c r="N205" s="9">
        <f t="shared" si="25"/>
        <v>1.8946724088461491</v>
      </c>
      <c r="O205" s="9">
        <f t="shared" si="26"/>
        <v>4.8088911769703948</v>
      </c>
      <c r="P205" s="9">
        <f t="shared" si="27"/>
        <v>-1.3566652987459307</v>
      </c>
      <c r="Q205" s="9">
        <f t="shared" si="30"/>
        <v>0.86928735832726423</v>
      </c>
      <c r="R205" s="9">
        <f t="shared" si="30"/>
        <v>0.99190909743415689</v>
      </c>
      <c r="S205" s="9">
        <f t="shared" si="30"/>
        <v>0.20478281317067823</v>
      </c>
      <c r="T205" s="9">
        <f t="shared" si="28"/>
        <v>1.404227334075089</v>
      </c>
      <c r="U205" s="14">
        <f t="shared" si="31"/>
        <v>2.1746674848988895E-7</v>
      </c>
      <c r="W205" s="14">
        <f t="shared" si="29"/>
        <v>5.8529875480407924E-2</v>
      </c>
      <c r="X205" s="16">
        <f t="shared" si="32"/>
        <v>3.3198220563050156E-2</v>
      </c>
    </row>
    <row r="206" spans="1:24" x14ac:dyDescent="0.3">
      <c r="A206" s="9">
        <v>10</v>
      </c>
      <c r="B206" s="9">
        <v>0.592782777626775</v>
      </c>
      <c r="C206" s="9">
        <v>0.76992387781310878</v>
      </c>
      <c r="D206" s="9">
        <v>0.45639761485123242</v>
      </c>
      <c r="E206" s="9">
        <v>0.50499999999999989</v>
      </c>
      <c r="F206" s="9">
        <v>0.5</v>
      </c>
      <c r="G206" s="9">
        <v>1.3980617690692001</v>
      </c>
      <c r="N206" s="9">
        <f t="shared" si="25"/>
        <v>1.8410175314213466</v>
      </c>
      <c r="O206" s="9">
        <f t="shared" si="26"/>
        <v>3.7281778611627967</v>
      </c>
      <c r="P206" s="9">
        <f t="shared" si="27"/>
        <v>-1.4804580923832482</v>
      </c>
      <c r="Q206" s="9">
        <f t="shared" si="30"/>
        <v>0.86306900463304492</v>
      </c>
      <c r="R206" s="9">
        <f t="shared" si="30"/>
        <v>0.97652760251845838</v>
      </c>
      <c r="S206" s="9">
        <f t="shared" si="30"/>
        <v>0.18535823711573648</v>
      </c>
      <c r="T206" s="9">
        <f t="shared" si="28"/>
        <v>1.3986491714965261</v>
      </c>
      <c r="U206" s="14">
        <f t="shared" si="31"/>
        <v>3.450416116285032E-7</v>
      </c>
      <c r="W206" s="14">
        <f t="shared" si="29"/>
        <v>5.5364954077565219E-2</v>
      </c>
      <c r="X206" s="16">
        <f t="shared" si="32"/>
        <v>4.2015484603166182E-2</v>
      </c>
    </row>
    <row r="207" spans="1:24" x14ac:dyDescent="0.3">
      <c r="A207" s="9">
        <v>11</v>
      </c>
      <c r="B207" s="9">
        <v>0.99798365800029631</v>
      </c>
      <c r="C207" s="9">
        <v>0.99899132028276216</v>
      </c>
      <c r="D207" s="9">
        <v>0.99697701212633671</v>
      </c>
      <c r="E207" s="9">
        <v>0.81</v>
      </c>
      <c r="F207" s="9">
        <v>0.5</v>
      </c>
      <c r="G207" s="9">
        <v>1.78504817529668</v>
      </c>
      <c r="N207" s="9">
        <f t="shared" si="25"/>
        <v>2.837963382097215</v>
      </c>
      <c r="O207" s="9">
        <f t="shared" si="26"/>
        <v>7.0834526422898998</v>
      </c>
      <c r="P207" s="9">
        <f t="shared" si="27"/>
        <v>-0.37638047909686279</v>
      </c>
      <c r="Q207" s="9">
        <f t="shared" si="30"/>
        <v>0.94469314932002901</v>
      </c>
      <c r="R207" s="9">
        <f t="shared" si="30"/>
        <v>0.99916183129778557</v>
      </c>
      <c r="S207" s="9">
        <f t="shared" si="30"/>
        <v>0.40700017726224946</v>
      </c>
      <c r="T207" s="9">
        <f t="shared" si="28"/>
        <v>1.7843112593658983</v>
      </c>
      <c r="U207" s="14">
        <f t="shared" si="31"/>
        <v>5.4304508903990955E-7</v>
      </c>
      <c r="W207" s="14">
        <f t="shared" si="29"/>
        <v>0.3872373672474016</v>
      </c>
      <c r="X207" s="16">
        <f t="shared" si="32"/>
        <v>4.1282691469055541E-2</v>
      </c>
    </row>
    <row r="208" spans="1:24" x14ac:dyDescent="0.3">
      <c r="A208" s="9">
        <v>12</v>
      </c>
      <c r="B208" s="9">
        <v>0.99082969587065506</v>
      </c>
      <c r="C208" s="9">
        <v>0.99540428764932243</v>
      </c>
      <c r="D208" s="9">
        <v>0.98627612759992478</v>
      </c>
      <c r="E208" s="9">
        <v>0.64000000000000012</v>
      </c>
      <c r="F208" s="9">
        <v>0.5</v>
      </c>
      <c r="G208" s="9">
        <v>1.5584483501979201</v>
      </c>
      <c r="N208" s="9">
        <f t="shared" si="25"/>
        <v>2.279803888056589</v>
      </c>
      <c r="O208" s="9">
        <f t="shared" si="26"/>
        <v>7.0459504568633209</v>
      </c>
      <c r="P208" s="9">
        <f t="shared" si="27"/>
        <v>-0.94275298119439732</v>
      </c>
      <c r="Q208" s="9">
        <f t="shared" si="30"/>
        <v>0.90719053638622071</v>
      </c>
      <c r="R208" s="9">
        <f t="shared" si="30"/>
        <v>0.99912982916760262</v>
      </c>
      <c r="S208" s="9">
        <f t="shared" si="30"/>
        <v>0.28034458877995372</v>
      </c>
      <c r="T208" s="9">
        <f t="shared" si="28"/>
        <v>1.5577090271026144</v>
      </c>
      <c r="U208" s="14">
        <f t="shared" si="31"/>
        <v>5.4659863925235115E-7</v>
      </c>
      <c r="W208" s="14">
        <f t="shared" si="29"/>
        <v>0.15656596028474384</v>
      </c>
      <c r="X208" s="16">
        <f t="shared" si="32"/>
        <v>4.7439691871198265E-2</v>
      </c>
    </row>
    <row r="209" spans="1:24" x14ac:dyDescent="0.3">
      <c r="A209" s="9">
        <v>13</v>
      </c>
      <c r="B209" s="9">
        <v>0.97635838312361378</v>
      </c>
      <c r="C209" s="9">
        <v>0.98810848752736347</v>
      </c>
      <c r="D209" s="9">
        <v>0.96474800523293669</v>
      </c>
      <c r="E209" s="9">
        <v>0.49</v>
      </c>
      <c r="F209" s="9">
        <v>0.5</v>
      </c>
      <c r="G209" s="9">
        <v>1.3477763087091601</v>
      </c>
      <c r="N209" s="9">
        <f t="shared" si="25"/>
        <v>1.7878554495594186</v>
      </c>
      <c r="O209" s="9">
        <f t="shared" si="26"/>
        <v>6.9356882203477106</v>
      </c>
      <c r="P209" s="9">
        <f t="shared" si="27"/>
        <v>-1.4416940126007951</v>
      </c>
      <c r="Q209" s="9">
        <f t="shared" si="30"/>
        <v>0.85666414706415572</v>
      </c>
      <c r="R209" s="9">
        <f t="shared" si="30"/>
        <v>0.99902849117121106</v>
      </c>
      <c r="S209" s="9">
        <f t="shared" si="30"/>
        <v>0.19128315807098595</v>
      </c>
      <c r="T209" s="9">
        <f t="shared" si="28"/>
        <v>1.3481050445863805</v>
      </c>
      <c r="U209" s="14">
        <f t="shared" si="31"/>
        <v>1.0806727697185035E-7</v>
      </c>
      <c r="W209" s="14">
        <f t="shared" si="29"/>
        <v>3.4229486712553707E-2</v>
      </c>
      <c r="X209" s="16">
        <f t="shared" si="32"/>
        <v>2.4390982026922914E-2</v>
      </c>
    </row>
    <row r="210" spans="1:24" x14ac:dyDescent="0.3">
      <c r="A210" s="9">
        <v>14</v>
      </c>
      <c r="B210" s="9">
        <v>0.95144310139704413</v>
      </c>
      <c r="C210" s="9">
        <v>0.97541944895365096</v>
      </c>
      <c r="D210" s="9">
        <v>0.92805610567545749</v>
      </c>
      <c r="E210" s="9">
        <v>0.35999999999999988</v>
      </c>
      <c r="F210" s="9">
        <v>0.5</v>
      </c>
      <c r="G210" s="9">
        <v>1.15511615759112</v>
      </c>
      <c r="N210" s="9">
        <f t="shared" si="25"/>
        <v>1.3622318749161129</v>
      </c>
      <c r="O210" s="9">
        <f t="shared" si="26"/>
        <v>6.7250525329758908</v>
      </c>
      <c r="P210" s="9">
        <f t="shared" si="27"/>
        <v>-1.8732510509995475</v>
      </c>
      <c r="Q210" s="9">
        <f t="shared" si="30"/>
        <v>0.79612219643220461</v>
      </c>
      <c r="R210" s="9">
        <f t="shared" si="30"/>
        <v>0.99880098185609156</v>
      </c>
      <c r="S210" s="9">
        <f t="shared" si="30"/>
        <v>0.1331659968094574</v>
      </c>
      <c r="T210" s="9">
        <f t="shared" si="28"/>
        <v>1.154098441415266</v>
      </c>
      <c r="U210" s="14">
        <f t="shared" si="31"/>
        <v>1.0357462145948897E-6</v>
      </c>
      <c r="W210" s="14">
        <f t="shared" si="29"/>
        <v>5.8492290458520349E-5</v>
      </c>
      <c r="X210" s="16">
        <f t="shared" si="32"/>
        <v>8.8105093947984062E-2</v>
      </c>
    </row>
    <row r="211" spans="1:24" x14ac:dyDescent="0.3">
      <c r="A211" s="9">
        <v>15</v>
      </c>
      <c r="B211" s="9">
        <v>0.91157954485698101</v>
      </c>
      <c r="C211" s="9">
        <v>0.95476674892718227</v>
      </c>
      <c r="D211" s="9">
        <v>0.87034583843162083</v>
      </c>
      <c r="E211" s="9">
        <v>0.25</v>
      </c>
      <c r="F211" s="9">
        <v>0.5</v>
      </c>
      <c r="G211" s="9">
        <v>0.98119097740429795</v>
      </c>
      <c r="N211" s="9">
        <f t="shared" si="25"/>
        <v>1.0029642371037246</v>
      </c>
      <c r="O211" s="9">
        <f t="shared" si="26"/>
        <v>6.3769367134455868</v>
      </c>
      <c r="P211" s="9">
        <f t="shared" si="27"/>
        <v>-2.2381015818293921</v>
      </c>
      <c r="Q211" s="9">
        <f t="shared" si="30"/>
        <v>0.73164098369464525</v>
      </c>
      <c r="R211" s="9">
        <f t="shared" si="30"/>
        <v>0.99830256262737049</v>
      </c>
      <c r="S211" s="9">
        <f t="shared" si="30"/>
        <v>9.638075116113623E-2</v>
      </c>
      <c r="T211" s="9">
        <f t="shared" si="28"/>
        <v>0.97739354108827659</v>
      </c>
      <c r="U211" s="14">
        <f t="shared" si="31"/>
        <v>1.4420522574237901E-5</v>
      </c>
      <c r="W211" s="14">
        <f t="shared" si="29"/>
        <v>3.2968828938155025E-2</v>
      </c>
      <c r="X211" s="16">
        <f t="shared" si="32"/>
        <v>0.38702315894376965</v>
      </c>
    </row>
    <row r="212" spans="1:24" x14ac:dyDescent="0.3">
      <c r="A212" s="9">
        <v>16</v>
      </c>
      <c r="B212" s="9">
        <v>0.85026083486688353</v>
      </c>
      <c r="C212" s="9">
        <v>0.92209589244659562</v>
      </c>
      <c r="D212" s="9">
        <v>0.78402202333896664</v>
      </c>
      <c r="E212" s="9">
        <v>0.15999999999999992</v>
      </c>
      <c r="F212" s="9">
        <v>0.5</v>
      </c>
      <c r="G212" s="9">
        <v>0.82716568739905805</v>
      </c>
      <c r="N212" s="9">
        <f t="shared" si="25"/>
        <v>0.70978696537631192</v>
      </c>
      <c r="O212" s="9">
        <f t="shared" si="26"/>
        <v>5.8438025353911769</v>
      </c>
      <c r="P212" s="9">
        <f t="shared" si="27"/>
        <v>-2.5389761535034419</v>
      </c>
      <c r="Q212" s="9">
        <f t="shared" si="30"/>
        <v>0.67035408523587814</v>
      </c>
      <c r="R212" s="9">
        <f t="shared" si="30"/>
        <v>0.99711057034488892</v>
      </c>
      <c r="S212" s="9">
        <f t="shared" si="30"/>
        <v>7.3170576919395949E-2</v>
      </c>
      <c r="T212" s="9">
        <f t="shared" si="28"/>
        <v>0.82462025155202046</v>
      </c>
      <c r="U212" s="14">
        <f t="shared" si="31"/>
        <v>6.479243651383981E-6</v>
      </c>
      <c r="W212" s="14">
        <f t="shared" si="29"/>
        <v>0.11262635015323852</v>
      </c>
      <c r="X212" s="16">
        <f t="shared" si="32"/>
        <v>0.30772986425990018</v>
      </c>
    </row>
    <row r="213" spans="1:24" x14ac:dyDescent="0.3">
      <c r="A213" s="9">
        <v>17</v>
      </c>
      <c r="B213" s="9">
        <v>0.75804016693539389</v>
      </c>
      <c r="C213" s="9">
        <v>0.87065502177119147</v>
      </c>
      <c r="D213" s="9">
        <v>0.65999147804657321</v>
      </c>
      <c r="E213" s="9">
        <v>9.000000000000008E-2</v>
      </c>
      <c r="F213" s="9">
        <v>0.5</v>
      </c>
      <c r="G213" s="9">
        <v>0.705146904104761</v>
      </c>
      <c r="N213" s="9">
        <f t="shared" si="25"/>
        <v>0.48154551701899451</v>
      </c>
      <c r="O213" s="9">
        <f t="shared" si="26"/>
        <v>5.0709931652531264</v>
      </c>
      <c r="P213" s="9">
        <f t="shared" si="27"/>
        <v>-2.7853802476910126</v>
      </c>
      <c r="Q213" s="9">
        <f t="shared" si="30"/>
        <v>0.61811275963257706</v>
      </c>
      <c r="R213" s="9">
        <f t="shared" si="30"/>
        <v>0.99376296104577067</v>
      </c>
      <c r="S213" s="9">
        <f t="shared" si="30"/>
        <v>5.8119331686938322E-2</v>
      </c>
      <c r="T213" s="9">
        <f t="shared" si="28"/>
        <v>0.70451233181584305</v>
      </c>
      <c r="U213" s="14">
        <f t="shared" si="31"/>
        <v>4.0268198986255993E-7</v>
      </c>
      <c r="W213" s="14">
        <f t="shared" si="29"/>
        <v>0.20941357381206477</v>
      </c>
      <c r="X213" s="16">
        <f t="shared" si="32"/>
        <v>8.9991501802533486E-2</v>
      </c>
    </row>
    <row r="214" spans="1:24" x14ac:dyDescent="0.3">
      <c r="A214" s="9">
        <v>18</v>
      </c>
      <c r="B214" s="9">
        <v>0.62081341767015485</v>
      </c>
      <c r="C214" s="9">
        <v>0.78791713883514092</v>
      </c>
      <c r="D214" s="9">
        <v>0.48914953180113391</v>
      </c>
      <c r="E214" s="9">
        <v>4.0000000000000036E-2</v>
      </c>
      <c r="F214" s="9">
        <v>0.5</v>
      </c>
      <c r="G214" s="9">
        <v>0.62699751592689701</v>
      </c>
      <c r="N214" s="9">
        <f t="shared" si="25"/>
        <v>0.31441439422776363</v>
      </c>
      <c r="O214" s="9">
        <f t="shared" si="26"/>
        <v>4.0134817304125372</v>
      </c>
      <c r="P214" s="9">
        <f t="shared" si="27"/>
        <v>-3.0114856918601465</v>
      </c>
      <c r="Q214" s="9">
        <f t="shared" si="30"/>
        <v>0.5779623973576965</v>
      </c>
      <c r="R214" s="9">
        <f t="shared" si="30"/>
        <v>0.98225037289277339</v>
      </c>
      <c r="S214" s="9">
        <f t="shared" si="30"/>
        <v>4.6909676913101349E-2</v>
      </c>
      <c r="T214" s="9">
        <f t="shared" si="28"/>
        <v>0.63015047727940821</v>
      </c>
      <c r="U214" s="14">
        <f t="shared" si="31"/>
        <v>9.9411652904292338E-6</v>
      </c>
      <c r="W214" s="14">
        <f t="shared" si="29"/>
        <v>0.28704592139276008</v>
      </c>
      <c r="X214" s="16">
        <f t="shared" si="32"/>
        <v>0.50286664180003027</v>
      </c>
    </row>
    <row r="215" spans="1:24" x14ac:dyDescent="0.3">
      <c r="A215" s="9">
        <v>19</v>
      </c>
      <c r="B215" s="9">
        <v>0.41411550520763146</v>
      </c>
      <c r="C215" s="9">
        <v>0.64351806906071529</v>
      </c>
      <c r="D215" s="9">
        <v>0.26649081027931787</v>
      </c>
      <c r="E215" s="9">
        <v>1.0000000000000009E-2</v>
      </c>
      <c r="F215" s="9">
        <v>0.5</v>
      </c>
      <c r="G215" s="9">
        <v>0.64098634685893896</v>
      </c>
      <c r="N215" s="9">
        <f t="shared" si="25"/>
        <v>0.19470101460666842</v>
      </c>
      <c r="O215" s="9">
        <f t="shared" si="26"/>
        <v>2.7020893839896134</v>
      </c>
      <c r="P215" s="9">
        <f t="shared" si="27"/>
        <v>-3.3687689933758715</v>
      </c>
      <c r="Q215" s="9">
        <f t="shared" si="30"/>
        <v>0.54852206723802155</v>
      </c>
      <c r="R215" s="9">
        <f t="shared" si="30"/>
        <v>0.93714982119274426</v>
      </c>
      <c r="S215" s="9">
        <f t="shared" si="30"/>
        <v>3.328589735491784E-2</v>
      </c>
      <c r="T215" s="9">
        <f t="shared" si="28"/>
        <v>0.64117021274058938</v>
      </c>
      <c r="U215" s="14">
        <f t="shared" si="31"/>
        <v>3.3806662435087947E-8</v>
      </c>
      <c r="W215" s="14">
        <f t="shared" si="29"/>
        <v>0.27225211013820416</v>
      </c>
      <c r="X215" s="16">
        <f t="shared" si="32"/>
        <v>2.8684835886354336E-2</v>
      </c>
    </row>
    <row r="216" spans="1:24" x14ac:dyDescent="0.3">
      <c r="A216" s="9">
        <v>20</v>
      </c>
      <c r="B216" s="9">
        <v>0.6046213212551188</v>
      </c>
      <c r="C216" s="9">
        <v>0.77757399728586529</v>
      </c>
      <c r="D216" s="9">
        <v>0.47013781761260415</v>
      </c>
      <c r="E216" s="9">
        <v>0.13</v>
      </c>
      <c r="F216" s="9">
        <v>0.5</v>
      </c>
      <c r="G216" s="9">
        <v>0.796399892753762</v>
      </c>
      <c r="N216" s="9">
        <f t="shared" si="25"/>
        <v>0.60934388332148348</v>
      </c>
      <c r="O216" s="9">
        <f t="shared" si="26"/>
        <v>3.8803249140654481</v>
      </c>
      <c r="P216" s="9">
        <f t="shared" si="27"/>
        <v>-2.7225740896350956</v>
      </c>
      <c r="Q216" s="9">
        <f t="shared" si="30"/>
        <v>0.64779111847230353</v>
      </c>
      <c r="R216" s="9">
        <f t="shared" si="30"/>
        <v>0.9797734428741921</v>
      </c>
      <c r="S216" s="9">
        <f t="shared" si="30"/>
        <v>6.1654379016959922E-2</v>
      </c>
      <c r="T216" s="9">
        <f t="shared" si="28"/>
        <v>0.79802768094841925</v>
      </c>
      <c r="U216" s="14">
        <f t="shared" si="31"/>
        <v>2.649694406665521E-6</v>
      </c>
      <c r="W216" s="14">
        <f t="shared" si="29"/>
        <v>0.13422279306241749</v>
      </c>
      <c r="X216" s="16">
        <f t="shared" si="32"/>
        <v>0.2043933216802363</v>
      </c>
    </row>
    <row r="217" spans="1:24" x14ac:dyDescent="0.3">
      <c r="A217" s="9">
        <v>21</v>
      </c>
      <c r="B217" s="9">
        <v>0.5360450892996631</v>
      </c>
      <c r="C217" s="9">
        <v>0.73215100170638503</v>
      </c>
      <c r="D217" s="9">
        <v>0.39246594909053695</v>
      </c>
      <c r="E217" s="9">
        <v>3.6250000000000004E-2</v>
      </c>
      <c r="F217" s="9">
        <v>0.5</v>
      </c>
      <c r="G217" s="9">
        <v>0.634955470749335</v>
      </c>
      <c r="N217" s="9">
        <f t="shared" si="25"/>
        <v>0.29632583824227698</v>
      </c>
      <c r="O217" s="9">
        <f t="shared" si="26"/>
        <v>3.4262963435471301</v>
      </c>
      <c r="P217" s="9">
        <f t="shared" si="27"/>
        <v>-3.0971854234764091</v>
      </c>
      <c r="Q217" s="9">
        <f t="shared" si="30"/>
        <v>0.5735440927107408</v>
      </c>
      <c r="R217" s="9">
        <f t="shared" si="30"/>
        <v>0.9685163299520545</v>
      </c>
      <c r="S217" s="9">
        <f t="shared" si="30"/>
        <v>4.322350287643352E-2</v>
      </c>
      <c r="T217" s="9">
        <f t="shared" si="28"/>
        <v>0.64353833079219114</v>
      </c>
      <c r="U217" s="14">
        <f t="shared" si="31"/>
        <v>7.3665486515256379E-5</v>
      </c>
      <c r="W217" s="14">
        <f t="shared" si="29"/>
        <v>0.27858203657612957</v>
      </c>
      <c r="X217" s="16">
        <f t="shared" si="32"/>
        <v>1.3517262923535684</v>
      </c>
    </row>
    <row r="218" spans="1:24" x14ac:dyDescent="0.3">
      <c r="A218" s="9">
        <v>22</v>
      </c>
      <c r="B218" s="9">
        <v>0.482056160699321</v>
      </c>
      <c r="C218" s="9">
        <v>0.69430264344831716</v>
      </c>
      <c r="D218" s="9">
        <v>0.33469286666408549</v>
      </c>
      <c r="E218" s="9">
        <v>1.8888888888888844E-2</v>
      </c>
      <c r="F218" s="9">
        <v>0.5</v>
      </c>
      <c r="G218" s="9">
        <v>0.63042372937179103</v>
      </c>
      <c r="N218" s="9">
        <f t="shared" si="25"/>
        <v>0.23363084202137571</v>
      </c>
      <c r="O218" s="9">
        <f t="shared" si="26"/>
        <v>3.0880434639394729</v>
      </c>
      <c r="P218" s="9">
        <f t="shared" si="27"/>
        <v>-3.2227371359672565</v>
      </c>
      <c r="Q218" s="9">
        <f t="shared" si="30"/>
        <v>0.55814347853769686</v>
      </c>
      <c r="R218" s="9">
        <f t="shared" si="30"/>
        <v>0.95639684655598056</v>
      </c>
      <c r="S218" s="9">
        <f t="shared" si="30"/>
        <v>3.8318992708965577E-2</v>
      </c>
      <c r="T218" s="9">
        <f t="shared" si="28"/>
        <v>0.62941094527094532</v>
      </c>
      <c r="U218" s="14">
        <f t="shared" si="31"/>
        <v>1.0257316349258523E-6</v>
      </c>
      <c r="W218" s="14">
        <f t="shared" si="29"/>
        <v>0.28338635841621018</v>
      </c>
      <c r="X218" s="16">
        <f t="shared" si="32"/>
        <v>0.16065132920281025</v>
      </c>
    </row>
    <row r="219" spans="1:24" x14ac:dyDescent="0.3">
      <c r="A219" s="9">
        <v>23</v>
      </c>
      <c r="B219" s="9">
        <v>0.44329834371454524</v>
      </c>
      <c r="C219" s="9">
        <v>0.66580653625099329</v>
      </c>
      <c r="D219" s="9">
        <v>0.29515093475438386</v>
      </c>
      <c r="E219" s="9">
        <v>1.2812500000000004E-2</v>
      </c>
      <c r="F219" s="9">
        <v>0.5</v>
      </c>
      <c r="G219" s="9">
        <v>0.63348421509108099</v>
      </c>
      <c r="N219" s="9">
        <f t="shared" si="25"/>
        <v>0.20850909335068854</v>
      </c>
      <c r="O219" s="9">
        <f t="shared" si="26"/>
        <v>2.8618943695777133</v>
      </c>
      <c r="P219" s="9">
        <f t="shared" si="27"/>
        <v>-3.3045107042141417</v>
      </c>
      <c r="Q219" s="9">
        <f t="shared" si="30"/>
        <v>0.55193923352427166</v>
      </c>
      <c r="R219" s="9">
        <f t="shared" si="30"/>
        <v>0.94593027119971174</v>
      </c>
      <c r="S219" s="9">
        <f t="shared" si="30"/>
        <v>3.5416769352473093E-2</v>
      </c>
      <c r="T219" s="9">
        <f t="shared" si="28"/>
        <v>0.63358313836598401</v>
      </c>
      <c r="U219" s="14">
        <f t="shared" si="31"/>
        <v>9.7858143175380267E-9</v>
      </c>
      <c r="W219" s="14">
        <f t="shared" si="29"/>
        <v>0.2801372842776681</v>
      </c>
      <c r="X219" s="16">
        <f t="shared" si="32"/>
        <v>1.5615744251621929E-2</v>
      </c>
    </row>
    <row r="220" spans="1:24" x14ac:dyDescent="0.3">
      <c r="A220" s="9">
        <v>24</v>
      </c>
      <c r="B220" s="9">
        <v>0.75641498946707786</v>
      </c>
      <c r="C220" s="9">
        <v>0.86972121364669375</v>
      </c>
      <c r="D220" s="9">
        <v>0.65787016265985809</v>
      </c>
      <c r="E220" s="9">
        <v>0.24222222222222223</v>
      </c>
      <c r="F220" s="9">
        <v>0.5</v>
      </c>
      <c r="G220" s="9">
        <v>0.97125830756284603</v>
      </c>
      <c r="N220" s="9">
        <f t="shared" si="25"/>
        <v>0.98180010884266455</v>
      </c>
      <c r="O220" s="9">
        <f t="shared" si="26"/>
        <v>5.0299968095141967</v>
      </c>
      <c r="P220" s="9">
        <f t="shared" si="27"/>
        <v>-2.2778937531442907</v>
      </c>
      <c r="Q220" s="9">
        <f t="shared" si="30"/>
        <v>0.72746525122318384</v>
      </c>
      <c r="R220" s="9">
        <f t="shared" si="30"/>
        <v>0.99350364712381911</v>
      </c>
      <c r="S220" s="9">
        <f t="shared" si="30"/>
        <v>9.2970414215603092E-2</v>
      </c>
      <c r="T220" s="9">
        <f t="shared" si="28"/>
        <v>0.97409170233583542</v>
      </c>
      <c r="U220" s="14">
        <f t="shared" si="31"/>
        <v>8.0281259396035622E-6</v>
      </c>
      <c r="W220" s="14">
        <f t="shared" si="29"/>
        <v>3.6674500271954215E-2</v>
      </c>
      <c r="X220" s="16">
        <f t="shared" si="32"/>
        <v>0.29172412229854178</v>
      </c>
    </row>
    <row r="221" spans="1:24" x14ac:dyDescent="0.3">
      <c r="A221" s="9">
        <v>25</v>
      </c>
      <c r="B221" s="9">
        <v>0.84330333318766382</v>
      </c>
      <c r="C221" s="9">
        <v>0.91831548674062113</v>
      </c>
      <c r="D221" s="9">
        <v>0.77441851088621827</v>
      </c>
      <c r="E221" s="9">
        <v>0.32624999999999993</v>
      </c>
      <c r="F221" s="9">
        <v>0.5</v>
      </c>
      <c r="G221" s="9">
        <v>1.10871149432115</v>
      </c>
      <c r="N221" s="9">
        <f t="shared" si="25"/>
        <v>1.2563603874444087</v>
      </c>
      <c r="O221" s="9">
        <f t="shared" si="26"/>
        <v>5.7526200627156179</v>
      </c>
      <c r="P221" s="9">
        <f t="shared" si="27"/>
        <v>-1.9847216939035048</v>
      </c>
      <c r="Q221" s="9">
        <f t="shared" si="30"/>
        <v>0.77839893251314818</v>
      </c>
      <c r="R221" s="9">
        <f t="shared" si="30"/>
        <v>0.99683559263512833</v>
      </c>
      <c r="S221" s="9">
        <f t="shared" si="30"/>
        <v>0.1208164018923463</v>
      </c>
      <c r="T221" s="9">
        <f t="shared" si="28"/>
        <v>1.1064913779720966</v>
      </c>
      <c r="U221" s="14">
        <f t="shared" si="31"/>
        <v>4.9289166033341601E-6</v>
      </c>
      <c r="W221" s="14">
        <f t="shared" si="29"/>
        <v>2.9216931378898657E-3</v>
      </c>
      <c r="X221" s="16">
        <f t="shared" si="32"/>
        <v>0.20024292707569885</v>
      </c>
    </row>
    <row r="222" spans="1:24" x14ac:dyDescent="0.3">
      <c r="A222" s="9">
        <v>26</v>
      </c>
      <c r="B222" s="9">
        <v>0.82722243711388821</v>
      </c>
      <c r="C222" s="9">
        <v>0.90951769477778055</v>
      </c>
      <c r="D222" s="9">
        <v>0.75237344407228135</v>
      </c>
      <c r="E222" s="9">
        <v>0.17000000000000004</v>
      </c>
      <c r="F222" s="9">
        <v>0.5</v>
      </c>
      <c r="G222" s="9">
        <v>0.84596219696542496</v>
      </c>
      <c r="N222" s="9">
        <f t="shared" si="25"/>
        <v>0.7433456301982696</v>
      </c>
      <c r="O222" s="9">
        <f t="shared" si="26"/>
        <v>5.6410097983898684</v>
      </c>
      <c r="P222" s="9">
        <f t="shared" si="27"/>
        <v>-2.5073140982386164</v>
      </c>
      <c r="Q222" s="9">
        <f t="shared" si="30"/>
        <v>0.67772701979744687</v>
      </c>
      <c r="R222" s="9">
        <f t="shared" si="30"/>
        <v>0.99646327031666759</v>
      </c>
      <c r="S222" s="9">
        <f t="shared" si="30"/>
        <v>7.5347022550621146E-2</v>
      </c>
      <c r="T222" s="9">
        <f t="shared" si="28"/>
        <v>0.84382805367208369</v>
      </c>
      <c r="U222" s="14">
        <f t="shared" si="31"/>
        <v>4.5545675965135342E-6</v>
      </c>
      <c r="W222" s="14">
        <f t="shared" si="29"/>
        <v>0.10036349826447212</v>
      </c>
      <c r="X222" s="16">
        <f t="shared" si="32"/>
        <v>0.25227407335655411</v>
      </c>
    </row>
    <row r="223" spans="1:24" x14ac:dyDescent="0.3">
      <c r="A223" s="9">
        <v>27</v>
      </c>
      <c r="B223" s="9">
        <v>0.79294453563825062</v>
      </c>
      <c r="C223" s="9">
        <v>0.8904743318244781</v>
      </c>
      <c r="D223" s="9">
        <v>0.70609675554634266</v>
      </c>
      <c r="E223" s="9">
        <v>0.11531250000000004</v>
      </c>
      <c r="F223" s="9">
        <v>0.5</v>
      </c>
      <c r="G223" s="9">
        <v>0.74712073440003501</v>
      </c>
      <c r="N223" s="9">
        <f t="shared" si="25"/>
        <v>0.56436366678975558</v>
      </c>
      <c r="O223" s="9">
        <f t="shared" si="26"/>
        <v>5.3576728968969238</v>
      </c>
      <c r="P223" s="9">
        <f t="shared" si="27"/>
        <v>-2.6940739205662778</v>
      </c>
      <c r="Q223" s="9">
        <f t="shared" si="30"/>
        <v>0.63746160614377556</v>
      </c>
      <c r="R223" s="9">
        <f t="shared" si="30"/>
        <v>0.99531023914945593</v>
      </c>
      <c r="S223" s="9">
        <f t="shared" si="30"/>
        <v>6.3323947402973674E-2</v>
      </c>
      <c r="T223" s="9">
        <f t="shared" si="28"/>
        <v>0.74796101522169423</v>
      </c>
      <c r="U223" s="14">
        <f t="shared" si="31"/>
        <v>7.0607185924827996E-7</v>
      </c>
      <c r="W223" s="14">
        <f t="shared" si="29"/>
        <v>0.17275947624470755</v>
      </c>
      <c r="X223" s="16">
        <f t="shared" si="32"/>
        <v>0.11246921454187557</v>
      </c>
    </row>
    <row r="224" spans="1:24" x14ac:dyDescent="0.3">
      <c r="A224" s="9">
        <v>28</v>
      </c>
      <c r="B224" s="9">
        <v>0.72336966320800022</v>
      </c>
      <c r="C224" s="9">
        <v>0.8505114127441209</v>
      </c>
      <c r="D224" s="9">
        <v>0.61523415419127547</v>
      </c>
      <c r="E224" s="9">
        <v>9.9999999999999978E-2</v>
      </c>
      <c r="F224" s="9">
        <v>0.5</v>
      </c>
      <c r="G224" s="9">
        <v>0.72528450665986499</v>
      </c>
      <c r="N224" s="9">
        <f t="shared" si="25"/>
        <v>0.51436484183190245</v>
      </c>
      <c r="O224" s="9">
        <f t="shared" si="26"/>
        <v>4.787513711694908</v>
      </c>
      <c r="P224" s="9">
        <f t="shared" si="27"/>
        <v>-2.7616736859424602</v>
      </c>
      <c r="Q224" s="9">
        <f t="shared" si="30"/>
        <v>0.62582913655682837</v>
      </c>
      <c r="R224" s="9">
        <f t="shared" si="30"/>
        <v>0.99173571724889453</v>
      </c>
      <c r="S224" s="9">
        <f t="shared" si="30"/>
        <v>5.943074004708683E-2</v>
      </c>
      <c r="T224" s="9">
        <f t="shared" si="28"/>
        <v>0.72612914774715209</v>
      </c>
      <c r="U224" s="14">
        <f t="shared" si="31"/>
        <v>7.1341856633353672E-7</v>
      </c>
      <c r="W224" s="14">
        <f t="shared" si="29"/>
        <v>0.19138846708503418</v>
      </c>
      <c r="X224" s="16">
        <f t="shared" si="32"/>
        <v>0.11645651872213654</v>
      </c>
    </row>
    <row r="225" spans="1:24" x14ac:dyDescent="0.3">
      <c r="A225" s="9">
        <v>29</v>
      </c>
      <c r="B225" s="9">
        <v>0.90058022766249946</v>
      </c>
      <c r="C225" s="9">
        <v>0.94898905560733393</v>
      </c>
      <c r="D225" s="9">
        <v>0.85464077974807318</v>
      </c>
      <c r="E225" s="9">
        <v>0.39999999999999991</v>
      </c>
      <c r="F225" s="9">
        <v>0.5</v>
      </c>
      <c r="G225" s="9">
        <v>1.21775157697395</v>
      </c>
      <c r="N225" s="9">
        <f t="shared" si="25"/>
        <v>1.4964493373189804</v>
      </c>
      <c r="O225" s="9">
        <f t="shared" si="26"/>
        <v>6.2496405444917977</v>
      </c>
      <c r="P225" s="9">
        <f t="shared" si="27"/>
        <v>-1.7373742359794626</v>
      </c>
      <c r="Q225" s="9">
        <f t="shared" si="30"/>
        <v>0.81704431019416679</v>
      </c>
      <c r="R225" s="9">
        <f t="shared" si="30"/>
        <v>0.99807257397192273</v>
      </c>
      <c r="S225" s="9">
        <f t="shared" si="30"/>
        <v>0.14964676255791048</v>
      </c>
      <c r="T225" s="9">
        <f t="shared" si="28"/>
        <v>1.2185039413417382</v>
      </c>
      <c r="U225" s="14">
        <f t="shared" si="31"/>
        <v>5.660521419174126E-7</v>
      </c>
      <c r="W225" s="14">
        <f t="shared" si="29"/>
        <v>3.0236135118376301E-3</v>
      </c>
      <c r="X225" s="16">
        <f t="shared" si="32"/>
        <v>6.1783074808889712E-2</v>
      </c>
    </row>
    <row r="226" spans="1:24" x14ac:dyDescent="0.3">
      <c r="A226" s="9">
        <v>30</v>
      </c>
      <c r="B226" s="9">
        <v>0.93966736106488868</v>
      </c>
      <c r="C226" s="9">
        <v>0.96936441087182934</v>
      </c>
      <c r="D226" s="9">
        <v>0.91088009787415281</v>
      </c>
      <c r="E226" s="9">
        <v>0.47222222222222221</v>
      </c>
      <c r="F226" s="9">
        <v>0.5</v>
      </c>
      <c r="G226" s="9">
        <v>1.3270845791394901</v>
      </c>
      <c r="N226" s="9">
        <f t="shared" si="25"/>
        <v>1.7317272199475335</v>
      </c>
      <c r="O226" s="9">
        <f t="shared" si="26"/>
        <v>6.5950954907759796</v>
      </c>
      <c r="P226" s="9">
        <f t="shared" si="27"/>
        <v>-1.4980179806879965</v>
      </c>
      <c r="Q226" s="9">
        <f t="shared" si="30"/>
        <v>0.84963321730817831</v>
      </c>
      <c r="R226" s="9">
        <f t="shared" si="30"/>
        <v>0.99863480992856746</v>
      </c>
      <c r="S226" s="9">
        <f t="shared" si="30"/>
        <v>0.18272132104408439</v>
      </c>
      <c r="T226" s="9">
        <f t="shared" si="28"/>
        <v>1.3241709925190961</v>
      </c>
      <c r="U226" s="14">
        <f t="shared" si="31"/>
        <v>8.4889869945388252E-6</v>
      </c>
      <c r="W226" s="14">
        <f t="shared" si="29"/>
        <v>2.7001192634628354E-2</v>
      </c>
      <c r="X226" s="16">
        <f t="shared" si="32"/>
        <v>0.21954792227961939</v>
      </c>
    </row>
    <row r="227" spans="1:24" x14ac:dyDescent="0.3">
      <c r="A227" s="9">
        <v>31</v>
      </c>
      <c r="B227" s="9">
        <v>0.93311773293603162</v>
      </c>
      <c r="C227" s="9">
        <v>0.96598019282800607</v>
      </c>
      <c r="D227" s="9">
        <v>0.90137324759278015</v>
      </c>
      <c r="E227" s="9">
        <v>0.3203125</v>
      </c>
      <c r="F227" s="9">
        <v>0.5</v>
      </c>
      <c r="G227" s="9">
        <v>1.09417584802432</v>
      </c>
      <c r="N227" s="9">
        <f t="shared" si="25"/>
        <v>1.2328807631927701</v>
      </c>
      <c r="O227" s="9">
        <f t="shared" si="26"/>
        <v>6.5620145415712132</v>
      </c>
      <c r="P227" s="9">
        <f t="shared" si="27"/>
        <v>-2.0044571772714912</v>
      </c>
      <c r="Q227" s="9">
        <f t="shared" si="30"/>
        <v>0.77432237745296328</v>
      </c>
      <c r="R227" s="9">
        <f t="shared" si="30"/>
        <v>0.99858895763307931</v>
      </c>
      <c r="S227" s="9">
        <f t="shared" si="30"/>
        <v>0.11873574071057409</v>
      </c>
      <c r="T227" s="9">
        <f t="shared" si="28"/>
        <v>1.0921072965422631</v>
      </c>
      <c r="U227" s="14">
        <f t="shared" si="31"/>
        <v>4.2789052339196673E-6</v>
      </c>
      <c r="W227" s="14">
        <f t="shared" si="29"/>
        <v>4.7043596750389414E-3</v>
      </c>
      <c r="X227" s="16">
        <f t="shared" si="32"/>
        <v>0.18905110049649818</v>
      </c>
    </row>
    <row r="228" spans="1:24" x14ac:dyDescent="0.3">
      <c r="A228" s="9">
        <v>32</v>
      </c>
      <c r="B228" s="9">
        <v>0.67803485561868637</v>
      </c>
      <c r="C228" s="9">
        <v>0.82342871920931104</v>
      </c>
      <c r="D228" s="9">
        <v>0.55831337274136517</v>
      </c>
      <c r="E228" s="9">
        <v>6.0816326530612308E-2</v>
      </c>
      <c r="F228" s="9">
        <v>0.5</v>
      </c>
      <c r="G228" s="9">
        <v>0.66222775638630504</v>
      </c>
      <c r="N228" s="9">
        <f t="shared" si="25"/>
        <v>0.38488244849567721</v>
      </c>
      <c r="O228" s="9">
        <f t="shared" si="26"/>
        <v>4.4384215198844945</v>
      </c>
      <c r="P228" s="9">
        <f t="shared" si="27"/>
        <v>-2.9100379356114567</v>
      </c>
      <c r="Q228" s="9">
        <f t="shared" si="30"/>
        <v>0.59505014832924974</v>
      </c>
      <c r="R228" s="9">
        <f t="shared" si="30"/>
        <v>0.98832338138433384</v>
      </c>
      <c r="S228" s="9">
        <f t="shared" si="30"/>
        <v>5.1659576936053712E-2</v>
      </c>
      <c r="T228" s="9">
        <f t="shared" si="28"/>
        <v>0.65947345425784376</v>
      </c>
      <c r="U228" s="14">
        <f t="shared" si="31"/>
        <v>7.5861802148463561E-6</v>
      </c>
      <c r="W228" s="14">
        <f t="shared" si="29"/>
        <v>0.25053671422346313</v>
      </c>
      <c r="X228" s="16">
        <f t="shared" si="32"/>
        <v>0.41591463086524333</v>
      </c>
    </row>
    <row r="229" spans="1:24" x14ac:dyDescent="0.3">
      <c r="A229" s="9">
        <v>33</v>
      </c>
      <c r="B229" s="9">
        <v>0.89158042542455807</v>
      </c>
      <c r="C229" s="9">
        <v>0.94423536548074616</v>
      </c>
      <c r="D229" s="9">
        <v>0.8418617688562372</v>
      </c>
      <c r="E229" s="9">
        <v>0.2432653061224489</v>
      </c>
      <c r="F229" s="9">
        <v>0.5</v>
      </c>
      <c r="G229" s="9">
        <v>0.97067304788018405</v>
      </c>
      <c r="N229" s="9">
        <f t="shared" si="25"/>
        <v>0.98179071610008684</v>
      </c>
      <c r="O229" s="9">
        <f t="shared" si="26"/>
        <v>6.1966795674791157</v>
      </c>
      <c r="P229" s="9">
        <f t="shared" si="27"/>
        <v>-2.2601969199841552</v>
      </c>
      <c r="Q229" s="9">
        <f t="shared" si="30"/>
        <v>0.7274633890181994</v>
      </c>
      <c r="R229" s="9">
        <f t="shared" si="30"/>
        <v>0.99796795718212128</v>
      </c>
      <c r="S229" s="9">
        <f t="shared" si="30"/>
        <v>9.4473521439840197E-2</v>
      </c>
      <c r="T229" s="9">
        <f t="shared" si="28"/>
        <v>0.96709565957430299</v>
      </c>
      <c r="U229" s="14">
        <f t="shared" si="31"/>
        <v>1.2797707091054541E-5</v>
      </c>
      <c r="W229" s="14">
        <f t="shared" si="29"/>
        <v>3.6899004136454798E-2</v>
      </c>
      <c r="X229" s="16">
        <f t="shared" si="32"/>
        <v>0.36854719657598195</v>
      </c>
    </row>
    <row r="230" spans="1:24" x14ac:dyDescent="0.3">
      <c r="A230" s="9">
        <v>34</v>
      </c>
      <c r="B230" s="9">
        <v>0.96611717808573394</v>
      </c>
      <c r="C230" s="9">
        <v>0.98291259941346465</v>
      </c>
      <c r="D230" s="9">
        <v>0.94960874685025021</v>
      </c>
      <c r="E230" s="9">
        <v>0.54734693877551011</v>
      </c>
      <c r="F230" s="9">
        <v>0.5</v>
      </c>
      <c r="G230" s="9">
        <v>1.4334119555762701</v>
      </c>
      <c r="N230" s="9">
        <f t="shared" si="25"/>
        <v>1.9769886698067032</v>
      </c>
      <c r="O230" s="9">
        <f t="shared" si="26"/>
        <v>6.8286253651399438</v>
      </c>
      <c r="P230" s="9">
        <f t="shared" si="27"/>
        <v>-1.2493986902872631</v>
      </c>
      <c r="Q230" s="9">
        <f t="shared" si="30"/>
        <v>0.87835978633785461</v>
      </c>
      <c r="R230" s="9">
        <f t="shared" si="30"/>
        <v>0.99891882527944653</v>
      </c>
      <c r="S230" s="9">
        <f t="shared" si="30"/>
        <v>0.22280424577102664</v>
      </c>
      <c r="T230" s="9">
        <f t="shared" si="28"/>
        <v>1.43053313762842</v>
      </c>
      <c r="U230" s="14">
        <f t="shared" si="31"/>
        <v>8.2875927768635976E-6</v>
      </c>
      <c r="W230" s="14">
        <f t="shared" si="29"/>
        <v>7.325021687822085E-2</v>
      </c>
      <c r="X230" s="16">
        <f t="shared" si="32"/>
        <v>0.20083674736009108</v>
      </c>
    </row>
    <row r="231" spans="1:24" x14ac:dyDescent="0.3">
      <c r="A231" s="9">
        <v>35</v>
      </c>
      <c r="B231" s="9">
        <v>0.98325960470347551</v>
      </c>
      <c r="C231" s="9">
        <v>0.99159447593432848</v>
      </c>
      <c r="D231" s="9">
        <v>0.97499479243333798</v>
      </c>
      <c r="E231" s="9">
        <v>0.62781249999999988</v>
      </c>
      <c r="F231" s="9">
        <v>0.5</v>
      </c>
      <c r="G231" s="9">
        <v>1.5409590332424801</v>
      </c>
      <c r="N231" s="9">
        <f t="shared" si="25"/>
        <v>2.2402794906201873</v>
      </c>
      <c r="O231" s="9">
        <f t="shared" si="26"/>
        <v>6.9761145632758677</v>
      </c>
      <c r="P231" s="9">
        <f t="shared" si="27"/>
        <v>-0.98259942254846422</v>
      </c>
      <c r="Q231" s="9">
        <f t="shared" si="30"/>
        <v>0.90380875952310025</v>
      </c>
      <c r="R231" s="9">
        <f t="shared" si="30"/>
        <v>0.99906694653308148</v>
      </c>
      <c r="S231" s="9">
        <f t="shared" si="30"/>
        <v>0.27237630600949392</v>
      </c>
      <c r="T231" s="9">
        <f t="shared" si="28"/>
        <v>1.5414382579635979</v>
      </c>
      <c r="U231" s="14">
        <f t="shared" si="31"/>
        <v>2.2965633333046426E-7</v>
      </c>
      <c r="W231" s="14">
        <f t="shared" si="29"/>
        <v>0.14303134485854166</v>
      </c>
      <c r="X231" s="16">
        <f t="shared" si="32"/>
        <v>3.1099121441888665E-2</v>
      </c>
    </row>
    <row r="232" spans="1:24" x14ac:dyDescent="0.3">
      <c r="A232" s="9">
        <v>36</v>
      </c>
      <c r="B232" s="9">
        <v>0.63822315837842447</v>
      </c>
      <c r="C232" s="9">
        <v>0.79888870212215701</v>
      </c>
      <c r="D232" s="9">
        <v>0.50986927066124366</v>
      </c>
      <c r="E232" s="9">
        <v>4.4691358024691374E-2</v>
      </c>
      <c r="F232" s="9">
        <v>0.5</v>
      </c>
      <c r="G232" s="9">
        <v>0.64029200406035103</v>
      </c>
      <c r="N232" s="9">
        <f t="shared" si="25"/>
        <v>0.33060303370352528</v>
      </c>
      <c r="O232" s="9">
        <f t="shared" si="26"/>
        <v>4.1404972483040421</v>
      </c>
      <c r="P232" s="9">
        <f t="shared" si="27"/>
        <v>-2.9848124653258976</v>
      </c>
      <c r="Q232" s="9">
        <f t="shared" si="30"/>
        <v>0.5819060969929285</v>
      </c>
      <c r="R232" s="9">
        <f t="shared" si="30"/>
        <v>0.98433438145262797</v>
      </c>
      <c r="S232" s="9">
        <f t="shared" si="30"/>
        <v>4.8116730582418568E-2</v>
      </c>
      <c r="T232" s="9">
        <f t="shared" si="28"/>
        <v>0.63570978288501001</v>
      </c>
      <c r="U232" s="14">
        <f t="shared" si="31"/>
        <v>2.099675089974361E-5</v>
      </c>
      <c r="W232" s="14">
        <f t="shared" si="29"/>
        <v>0.2729771776159014</v>
      </c>
      <c r="X232" s="16">
        <f t="shared" si="32"/>
        <v>0.71564554082876186</v>
      </c>
    </row>
    <row r="233" spans="1:24" x14ac:dyDescent="0.3">
      <c r="A233" s="9">
        <v>37</v>
      </c>
      <c r="B233" s="9">
        <v>0.86512518623928769</v>
      </c>
      <c r="C233" s="9">
        <v>0.93012105999127204</v>
      </c>
      <c r="D233" s="9">
        <v>0.80467115525003297</v>
      </c>
      <c r="E233" s="9">
        <v>0.17876543209876539</v>
      </c>
      <c r="F233" s="9">
        <v>0.5</v>
      </c>
      <c r="G233" s="9">
        <v>0.85312467208282405</v>
      </c>
      <c r="N233" s="9">
        <f t="shared" si="25"/>
        <v>0.77092465626408058</v>
      </c>
      <c r="O233" s="9">
        <f t="shared" si="26"/>
        <v>5.9716787280187624</v>
      </c>
      <c r="P233" s="9">
        <f t="shared" si="27"/>
        <v>-2.4757265947672957</v>
      </c>
      <c r="Q233" s="9">
        <f t="shared" si="30"/>
        <v>0.68372088150385657</v>
      </c>
      <c r="R233" s="9">
        <f t="shared" si="30"/>
        <v>0.99745652860361367</v>
      </c>
      <c r="S233" s="9">
        <f t="shared" si="30"/>
        <v>7.757745206146717E-2</v>
      </c>
      <c r="T233" s="9">
        <f t="shared" si="28"/>
        <v>0.85700406501969373</v>
      </c>
      <c r="U233" s="14">
        <f t="shared" si="31"/>
        <v>1.5049689558634318E-5</v>
      </c>
      <c r="W233" s="14">
        <f t="shared" si="29"/>
        <v>9.5876626632105874E-2</v>
      </c>
      <c r="X233" s="16">
        <f t="shared" si="32"/>
        <v>0.45472755199993214</v>
      </c>
    </row>
    <row r="234" spans="1:24" x14ac:dyDescent="0.3">
      <c r="A234" s="9">
        <v>38</v>
      </c>
      <c r="B234" s="9">
        <v>0.9598686322313662</v>
      </c>
      <c r="C234" s="9">
        <v>0.97972885648600039</v>
      </c>
      <c r="D234" s="9">
        <v>0.94041099743281709</v>
      </c>
      <c r="E234" s="9">
        <v>0.40222222222222215</v>
      </c>
      <c r="F234" s="9">
        <v>0.5</v>
      </c>
      <c r="G234" s="9">
        <v>1.2213896231242001</v>
      </c>
      <c r="N234" s="9">
        <f t="shared" si="25"/>
        <v>1.5004644591847227</v>
      </c>
      <c r="O234" s="9">
        <f t="shared" si="26"/>
        <v>6.7962445685460393</v>
      </c>
      <c r="P234" s="9">
        <f t="shared" si="27"/>
        <v>-1.7330507204058527</v>
      </c>
      <c r="Q234" s="9">
        <f t="shared" si="30"/>
        <v>0.81764373841572724</v>
      </c>
      <c r="R234" s="9">
        <f t="shared" si="30"/>
        <v>0.99888328273377847</v>
      </c>
      <c r="S234" s="9">
        <f t="shared" si="30"/>
        <v>0.15019777498674222</v>
      </c>
      <c r="T234" s="9">
        <f t="shared" si="28"/>
        <v>1.218811067164661</v>
      </c>
      <c r="U234" s="14">
        <f t="shared" si="31"/>
        <v>6.6489508364743081E-6</v>
      </c>
      <c r="W234" s="14">
        <f t="shared" si="29"/>
        <v>3.4369422465921791E-3</v>
      </c>
      <c r="X234" s="16">
        <f t="shared" si="32"/>
        <v>0.21111657662059852</v>
      </c>
    </row>
    <row r="235" spans="1:24" x14ac:dyDescent="0.3">
      <c r="A235" s="9">
        <v>39</v>
      </c>
      <c r="B235" s="9">
        <v>0.99334100566047745</v>
      </c>
      <c r="C235" s="9">
        <v>0.99666494152271545</v>
      </c>
      <c r="D235" s="9">
        <v>0.99002815531871613</v>
      </c>
      <c r="E235" s="9">
        <v>0.71506172839506177</v>
      </c>
      <c r="F235" s="9">
        <v>0.5</v>
      </c>
      <c r="G235" s="9">
        <v>1.6616488190643599</v>
      </c>
      <c r="N235" s="9">
        <f t="shared" si="25"/>
        <v>2.5263010224288216</v>
      </c>
      <c r="O235" s="9">
        <f t="shared" si="26"/>
        <v>7.0562946710812682</v>
      </c>
      <c r="P235" s="9">
        <f t="shared" si="27"/>
        <v>-0.69259882452003474</v>
      </c>
      <c r="Q235" s="9">
        <f t="shared" si="30"/>
        <v>0.9259651741151238</v>
      </c>
      <c r="R235" s="9">
        <f t="shared" si="30"/>
        <v>0.99913877629374825</v>
      </c>
      <c r="S235" s="9">
        <f t="shared" si="30"/>
        <v>0.3334552013658828</v>
      </c>
      <c r="T235" s="9">
        <f t="shared" si="28"/>
        <v>1.6591022009988039</v>
      </c>
      <c r="U235" s="14">
        <f t="shared" si="31"/>
        <v>6.4852635718162116E-6</v>
      </c>
      <c r="W235" s="14">
        <f t="shared" si="29"/>
        <v>0.24888588024433816</v>
      </c>
      <c r="X235" s="16">
        <f t="shared" si="32"/>
        <v>0.15325850061326157</v>
      </c>
    </row>
    <row r="236" spans="1:24" x14ac:dyDescent="0.3">
      <c r="A236" s="9">
        <v>1</v>
      </c>
      <c r="B236" s="9">
        <v>1</v>
      </c>
      <c r="C236" s="9">
        <v>1</v>
      </c>
      <c r="D236" s="9">
        <v>1</v>
      </c>
      <c r="E236" s="9">
        <v>1</v>
      </c>
      <c r="F236" s="9">
        <v>1</v>
      </c>
      <c r="G236" s="9">
        <v>2.0289473767219999</v>
      </c>
      <c r="N236" s="9">
        <f t="shared" si="25"/>
        <v>3.5081140310563832</v>
      </c>
      <c r="O236" s="9">
        <f t="shared" si="26"/>
        <v>6.7418205382075644</v>
      </c>
      <c r="P236" s="9">
        <f t="shared" si="27"/>
        <v>0.27450209224562094</v>
      </c>
      <c r="Q236" s="9">
        <f t="shared" si="30"/>
        <v>0.97091775833760807</v>
      </c>
      <c r="R236" s="9">
        <f t="shared" si="30"/>
        <v>0.99882089586683376</v>
      </c>
      <c r="S236" s="9">
        <f t="shared" si="30"/>
        <v>0.56819782643101813</v>
      </c>
      <c r="T236" s="9">
        <f t="shared" si="28"/>
        <v>2.0285749296121485</v>
      </c>
      <c r="U236" s="14">
        <f t="shared" si="31"/>
        <v>1.387168496366636E-7</v>
      </c>
      <c r="W236" s="14">
        <f t="shared" si="29"/>
        <v>0.75027332533519342</v>
      </c>
      <c r="X236" s="16">
        <f t="shared" si="32"/>
        <v>1.835666681770403E-2</v>
      </c>
    </row>
    <row r="237" spans="1:24" x14ac:dyDescent="0.3">
      <c r="A237" s="9">
        <v>2</v>
      </c>
      <c r="B237" s="9">
        <v>0.99805795702633637</v>
      </c>
      <c r="C237" s="9">
        <v>0.99902850661346809</v>
      </c>
      <c r="D237" s="9">
        <v>0.9970883503217095</v>
      </c>
      <c r="E237" s="9">
        <v>0.90500000000000003</v>
      </c>
      <c r="F237" s="9">
        <v>1</v>
      </c>
      <c r="G237" s="9">
        <v>1.91352999322529</v>
      </c>
      <c r="N237" s="9">
        <f t="shared" si="25"/>
        <v>3.1960566798313068</v>
      </c>
      <c r="O237" s="9">
        <f t="shared" si="26"/>
        <v>6.7404596143317779</v>
      </c>
      <c r="P237" s="9">
        <f t="shared" si="27"/>
        <v>-4.2226952368899617E-2</v>
      </c>
      <c r="Q237" s="9">
        <f t="shared" si="30"/>
        <v>0.9606856131274738</v>
      </c>
      <c r="R237" s="9">
        <f t="shared" si="30"/>
        <v>0.99881929199939146</v>
      </c>
      <c r="S237" s="9">
        <f t="shared" si="30"/>
        <v>0.48944483028506497</v>
      </c>
      <c r="T237" s="9">
        <f t="shared" si="28"/>
        <v>1.9149544897299915</v>
      </c>
      <c r="U237" s="14">
        <f t="shared" si="31"/>
        <v>2.0291902919066328E-6</v>
      </c>
      <c r="W237" s="14">
        <f t="shared" si="29"/>
        <v>0.56364930201884056</v>
      </c>
      <c r="X237" s="16">
        <f t="shared" si="32"/>
        <v>7.4443385248455368E-2</v>
      </c>
    </row>
    <row r="238" spans="1:24" x14ac:dyDescent="0.3">
      <c r="A238" s="9">
        <v>3</v>
      </c>
      <c r="B238" s="9">
        <v>0.99152490614171707</v>
      </c>
      <c r="C238" s="9">
        <v>0.99575343641973801</v>
      </c>
      <c r="D238" s="9">
        <v>0.98731433258637347</v>
      </c>
      <c r="E238" s="9">
        <v>0.82000000000000006</v>
      </c>
      <c r="F238" s="9">
        <v>1</v>
      </c>
      <c r="G238" s="9">
        <v>1.80602672240523</v>
      </c>
      <c r="N238" s="9">
        <f t="shared" si="25"/>
        <v>2.9171886515838508</v>
      </c>
      <c r="O238" s="9">
        <f t="shared" si="26"/>
        <v>6.6934541120509135</v>
      </c>
      <c r="P238" s="9">
        <f t="shared" si="27"/>
        <v>-0.32507497771306326</v>
      </c>
      <c r="Q238" s="9">
        <f t="shared" si="30"/>
        <v>0.94868962182167016</v>
      </c>
      <c r="R238" s="9">
        <f t="shared" si="30"/>
        <v>0.99876253746765431</v>
      </c>
      <c r="S238" s="9">
        <f t="shared" si="30"/>
        <v>0.4194394372464787</v>
      </c>
      <c r="T238" s="9">
        <f t="shared" si="28"/>
        <v>1.8080094122426336</v>
      </c>
      <c r="U238" s="14">
        <f t="shared" si="31"/>
        <v>3.9310589913434062E-6</v>
      </c>
      <c r="W238" s="14">
        <f t="shared" si="29"/>
        <v>0.41378669478679675</v>
      </c>
      <c r="X238" s="16">
        <f t="shared" si="32"/>
        <v>0.10978186606026884</v>
      </c>
    </row>
    <row r="239" spans="1:24" x14ac:dyDescent="0.3">
      <c r="A239" s="9">
        <v>4</v>
      </c>
      <c r="B239" s="9">
        <v>0.97911342554320058</v>
      </c>
      <c r="C239" s="9">
        <v>0.98950160461881032</v>
      </c>
      <c r="D239" s="9">
        <v>0.96883430567881712</v>
      </c>
      <c r="E239" s="9">
        <v>0.74500000000000011</v>
      </c>
      <c r="F239" s="9">
        <v>1</v>
      </c>
      <c r="G239" s="9">
        <v>1.71939109887959</v>
      </c>
      <c r="N239" s="9">
        <f t="shared" si="25"/>
        <v>2.6715758456900089</v>
      </c>
      <c r="O239" s="9">
        <f t="shared" si="26"/>
        <v>6.5890450399298235</v>
      </c>
      <c r="P239" s="9">
        <f t="shared" si="27"/>
        <v>-0.57398467687052346</v>
      </c>
      <c r="Q239" s="9">
        <f t="shared" si="30"/>
        <v>0.9353284184048466</v>
      </c>
      <c r="R239" s="9">
        <f t="shared" si="30"/>
        <v>0.9986265362534843</v>
      </c>
      <c r="S239" s="9">
        <f t="shared" si="30"/>
        <v>0.36031789077722481</v>
      </c>
      <c r="T239" s="9">
        <f t="shared" si="28"/>
        <v>1.711121793845976</v>
      </c>
      <c r="U239" s="14">
        <f t="shared" si="31"/>
        <v>6.8381405738953918E-5</v>
      </c>
      <c r="W239" s="14">
        <f t="shared" si="29"/>
        <v>0.30983352364147582</v>
      </c>
      <c r="X239" s="16">
        <f t="shared" si="32"/>
        <v>0.48094380847978963</v>
      </c>
    </row>
    <row r="240" spans="1:24" x14ac:dyDescent="0.3">
      <c r="A240" s="9">
        <v>5</v>
      </c>
      <c r="B240" s="9">
        <v>0.95913394700955001</v>
      </c>
      <c r="C240" s="9">
        <v>0.97935384157593941</v>
      </c>
      <c r="D240" s="9">
        <v>0.93933151558969652</v>
      </c>
      <c r="E240" s="9">
        <v>0.67999999999999994</v>
      </c>
      <c r="F240" s="9">
        <v>1</v>
      </c>
      <c r="G240" s="9">
        <v>1.6102207862239799</v>
      </c>
      <c r="N240" s="9">
        <f t="shared" si="25"/>
        <v>2.4592713573757901</v>
      </c>
      <c r="O240" s="9">
        <f t="shared" si="26"/>
        <v>6.4124856320817916</v>
      </c>
      <c r="P240" s="9">
        <f t="shared" si="27"/>
        <v>-0.78900958164845392</v>
      </c>
      <c r="Q240" s="9">
        <f t="shared" si="30"/>
        <v>0.921236809072844</v>
      </c>
      <c r="R240" s="9">
        <f t="shared" si="30"/>
        <v>0.99836174762096275</v>
      </c>
      <c r="S240" s="9">
        <f t="shared" si="30"/>
        <v>0.31238137099451485</v>
      </c>
      <c r="T240" s="9">
        <f t="shared" si="28"/>
        <v>1.6260665931815597</v>
      </c>
      <c r="U240" s="14">
        <f t="shared" si="31"/>
        <v>2.5108959813688298E-4</v>
      </c>
      <c r="W240" s="14">
        <f t="shared" si="29"/>
        <v>0.20021741189724243</v>
      </c>
      <c r="X240" s="16">
        <f t="shared" si="32"/>
        <v>0.98407666160729967</v>
      </c>
    </row>
    <row r="241" spans="1:24" x14ac:dyDescent="0.3">
      <c r="A241" s="9">
        <v>6</v>
      </c>
      <c r="B241" s="9">
        <v>0.92929286340991557</v>
      </c>
      <c r="C241" s="9">
        <v>0.96399837313655024</v>
      </c>
      <c r="D241" s="9">
        <v>0.89583680849456471</v>
      </c>
      <c r="E241" s="9">
        <v>0.625</v>
      </c>
      <c r="F241" s="9">
        <v>1</v>
      </c>
      <c r="G241" s="9">
        <v>1.5585786681199101</v>
      </c>
      <c r="N241" s="9">
        <f t="shared" si="25"/>
        <v>2.2802880266647261</v>
      </c>
      <c r="O241" s="9">
        <f t="shared" si="26"/>
        <v>6.1449515996291861</v>
      </c>
      <c r="P241" s="9">
        <f t="shared" si="27"/>
        <v>-0.97048927683247221</v>
      </c>
      <c r="Q241" s="9">
        <f t="shared" si="30"/>
        <v>0.90723129082112919</v>
      </c>
      <c r="R241" s="9">
        <f t="shared" si="30"/>
        <v>0.99786030842382112</v>
      </c>
      <c r="S241" s="9">
        <f t="shared" si="30"/>
        <v>0.2747829897015987</v>
      </c>
      <c r="T241" s="9">
        <f t="shared" si="28"/>
        <v>1.5537672660119735</v>
      </c>
      <c r="U241" s="14">
        <f t="shared" si="31"/>
        <v>2.3149590244256992E-5</v>
      </c>
      <c r="W241" s="14">
        <f t="shared" si="29"/>
        <v>0.15666910674440923</v>
      </c>
      <c r="X241" s="16">
        <f t="shared" si="32"/>
        <v>0.30870447583762622</v>
      </c>
    </row>
    <row r="242" spans="1:24" x14ac:dyDescent="0.3">
      <c r="A242" s="9">
        <v>7</v>
      </c>
      <c r="B242" s="9">
        <v>0.88629579591014296</v>
      </c>
      <c r="C242" s="9">
        <v>0.94143284195429633</v>
      </c>
      <c r="D242" s="9">
        <v>0.83438796995583142</v>
      </c>
      <c r="E242" s="9">
        <v>0.58000000000000007</v>
      </c>
      <c r="F242" s="9">
        <v>1</v>
      </c>
      <c r="G242" s="9">
        <v>1.49278922889104</v>
      </c>
      <c r="N242" s="9">
        <f t="shared" si="25"/>
        <v>2.1345364847196016</v>
      </c>
      <c r="O242" s="9">
        <f t="shared" si="26"/>
        <v>5.7615213885343382</v>
      </c>
      <c r="P242" s="9">
        <f t="shared" si="27"/>
        <v>-1.1195019049348218</v>
      </c>
      <c r="Q242" s="9">
        <f t="shared" si="30"/>
        <v>0.8942149033929242</v>
      </c>
      <c r="R242" s="9">
        <f t="shared" si="30"/>
        <v>0.99686354710979608</v>
      </c>
      <c r="S242" s="9">
        <f t="shared" si="30"/>
        <v>0.24610368675922889</v>
      </c>
      <c r="T242" s="9">
        <f t="shared" si="28"/>
        <v>1.4949532323763348</v>
      </c>
      <c r="U242" s="14">
        <f t="shared" si="31"/>
        <v>4.6829110843679304E-6</v>
      </c>
      <c r="W242" s="14">
        <f t="shared" si="29"/>
        <v>0.10891653101015944</v>
      </c>
      <c r="X242" s="16">
        <f t="shared" si="32"/>
        <v>0.14496376604367411</v>
      </c>
    </row>
    <row r="243" spans="1:24" x14ac:dyDescent="0.3">
      <c r="A243" s="9">
        <v>8</v>
      </c>
      <c r="B243" s="9">
        <v>0.82493648944805331</v>
      </c>
      <c r="C243" s="9">
        <v>0.90826014414816936</v>
      </c>
      <c r="D243" s="9">
        <v>0.74925693481917366</v>
      </c>
      <c r="E243" s="9">
        <v>0.54499999999999993</v>
      </c>
      <c r="F243" s="9">
        <v>1</v>
      </c>
      <c r="G243" s="9">
        <v>1.4561856949283301</v>
      </c>
      <c r="N243" s="9">
        <f t="shared" si="25"/>
        <v>2.0216677574938609</v>
      </c>
      <c r="O243" s="9">
        <f t="shared" si="26"/>
        <v>5.226726592252982</v>
      </c>
      <c r="P243" s="9">
        <f t="shared" si="27"/>
        <v>-1.239181524886078</v>
      </c>
      <c r="Q243" s="9">
        <f t="shared" si="30"/>
        <v>0.88305334871831065</v>
      </c>
      <c r="R243" s="9">
        <f t="shared" si="30"/>
        <v>0.99465761607507752</v>
      </c>
      <c r="S243" s="9">
        <f t="shared" si="30"/>
        <v>0.22457848530287056</v>
      </c>
      <c r="T243" s="9">
        <f t="shared" si="28"/>
        <v>1.4507631709268081</v>
      </c>
      <c r="U243" s="14">
        <f t="shared" si="31"/>
        <v>2.9403766547082041E-5</v>
      </c>
      <c r="W243" s="14">
        <f t="shared" si="29"/>
        <v>8.6096183746571714E-2</v>
      </c>
      <c r="X243" s="16">
        <f t="shared" si="32"/>
        <v>0.37237860668510908</v>
      </c>
    </row>
    <row r="244" spans="1:24" x14ac:dyDescent="0.3">
      <c r="A244" s="9">
        <v>9</v>
      </c>
      <c r="B244" s="9">
        <v>0.73549094564436945</v>
      </c>
      <c r="C244" s="9">
        <v>0.85760768749141325</v>
      </c>
      <c r="D244" s="9">
        <v>0.63076268906494071</v>
      </c>
      <c r="E244" s="9">
        <v>0.52</v>
      </c>
      <c r="F244" s="9">
        <v>1</v>
      </c>
      <c r="G244" s="9">
        <v>1.4268311073542901</v>
      </c>
      <c r="N244" s="9">
        <f t="shared" si="25"/>
        <v>1.9405728975149577</v>
      </c>
      <c r="O244" s="9">
        <f t="shared" si="26"/>
        <v>4.4824244432877336</v>
      </c>
      <c r="P244" s="9">
        <f t="shared" si="27"/>
        <v>-1.3394600962231937</v>
      </c>
      <c r="Q244" s="9">
        <f t="shared" si="30"/>
        <v>0.87441506877941777</v>
      </c>
      <c r="R244" s="9">
        <f t="shared" si="30"/>
        <v>0.98882042669289605</v>
      </c>
      <c r="S244" s="9">
        <f t="shared" si="30"/>
        <v>0.20759885955919014</v>
      </c>
      <c r="T244" s="9">
        <f t="shared" si="28"/>
        <v>1.4242850963039604</v>
      </c>
      <c r="U244" s="14">
        <f t="shared" si="31"/>
        <v>6.4821722684009398E-6</v>
      </c>
      <c r="W244" s="14">
        <f t="shared" si="29"/>
        <v>6.9731340613768913E-2</v>
      </c>
      <c r="X244" s="16">
        <f t="shared" si="32"/>
        <v>0.17843815131355353</v>
      </c>
    </row>
    <row r="245" spans="1:24" x14ac:dyDescent="0.3">
      <c r="A245" s="9">
        <v>10</v>
      </c>
      <c r="B245" s="9">
        <v>0.592782777626775</v>
      </c>
      <c r="C245" s="9">
        <v>0.76992387781310878</v>
      </c>
      <c r="D245" s="9">
        <v>0.45639761485123242</v>
      </c>
      <c r="E245" s="9">
        <v>0.50499999999999989</v>
      </c>
      <c r="F245" s="9">
        <v>1</v>
      </c>
      <c r="G245" s="9">
        <v>1.4306767333622801</v>
      </c>
      <c r="N245" s="9">
        <f t="shared" si="25"/>
        <v>1.8869180200901552</v>
      </c>
      <c r="O245" s="9">
        <f t="shared" si="26"/>
        <v>3.4017111274801359</v>
      </c>
      <c r="P245" s="9">
        <f t="shared" si="27"/>
        <v>-1.4632528898605113</v>
      </c>
      <c r="Q245" s="9">
        <f t="shared" si="30"/>
        <v>0.86840372564187784</v>
      </c>
      <c r="R245" s="9">
        <f t="shared" si="30"/>
        <v>0.9677579694812587</v>
      </c>
      <c r="S245" s="9">
        <f t="shared" si="30"/>
        <v>0.18797030829742714</v>
      </c>
      <c r="T245" s="9">
        <f t="shared" si="28"/>
        <v>1.4300387227624591</v>
      </c>
      <c r="U245" s="14">
        <f t="shared" si="31"/>
        <v>4.0705752548387224E-7</v>
      </c>
      <c r="W245" s="14">
        <f t="shared" si="29"/>
        <v>7.177713471856019E-2</v>
      </c>
      <c r="X245" s="16">
        <f t="shared" si="32"/>
        <v>4.4595021708469934E-2</v>
      </c>
    </row>
    <row r="246" spans="1:24" x14ac:dyDescent="0.3">
      <c r="A246" s="9">
        <v>11</v>
      </c>
      <c r="B246" s="9">
        <v>0.99798365800029631</v>
      </c>
      <c r="C246" s="9">
        <v>0.99899132028276216</v>
      </c>
      <c r="D246" s="9">
        <v>0.99697701212633671</v>
      </c>
      <c r="E246" s="9">
        <v>0.81</v>
      </c>
      <c r="F246" s="9">
        <v>1</v>
      </c>
      <c r="G246" s="9">
        <v>1.7974415651331599</v>
      </c>
      <c r="N246" s="9">
        <f t="shared" si="25"/>
        <v>2.8838638707660236</v>
      </c>
      <c r="O246" s="9">
        <f t="shared" si="26"/>
        <v>6.7569859086072395</v>
      </c>
      <c r="P246" s="9">
        <f t="shared" si="27"/>
        <v>-0.35917527657412585</v>
      </c>
      <c r="Q246" s="9">
        <f t="shared" si="30"/>
        <v>0.94704298172251977</v>
      </c>
      <c r="R246" s="9">
        <f t="shared" si="30"/>
        <v>0.9988386218998524</v>
      </c>
      <c r="S246" s="9">
        <f t="shared" si="30"/>
        <v>0.41115922287668494</v>
      </c>
      <c r="T246" s="9">
        <f t="shared" si="28"/>
        <v>1.7947222685588935</v>
      </c>
      <c r="U246" s="14">
        <f t="shared" si="31"/>
        <v>7.3945738588169482E-6</v>
      </c>
      <c r="W246" s="14">
        <f t="shared" si="29"/>
        <v>0.40281537957366725</v>
      </c>
      <c r="X246" s="16">
        <f t="shared" si="32"/>
        <v>0.1512870641814128</v>
      </c>
    </row>
    <row r="247" spans="1:24" x14ac:dyDescent="0.3">
      <c r="A247" s="9">
        <v>12</v>
      </c>
      <c r="B247" s="9">
        <v>0.99082969587065506</v>
      </c>
      <c r="C247" s="9">
        <v>0.99540428764932243</v>
      </c>
      <c r="D247" s="9">
        <v>0.98627612759992478</v>
      </c>
      <c r="E247" s="9">
        <v>0.64000000000000012</v>
      </c>
      <c r="F247" s="9">
        <v>1</v>
      </c>
      <c r="G247" s="9">
        <v>1.5708095594048901</v>
      </c>
      <c r="N247" s="9">
        <f t="shared" si="25"/>
        <v>2.3257043767253975</v>
      </c>
      <c r="O247" s="9">
        <f t="shared" si="26"/>
        <v>6.7194837231806606</v>
      </c>
      <c r="P247" s="9">
        <f t="shared" si="27"/>
        <v>-0.92554777867166038</v>
      </c>
      <c r="Q247" s="9">
        <f t="shared" si="30"/>
        <v>0.91098360845327131</v>
      </c>
      <c r="R247" s="9">
        <f t="shared" si="30"/>
        <v>0.99879429419886767</v>
      </c>
      <c r="S247" s="9">
        <f t="shared" si="30"/>
        <v>0.28382884601225927</v>
      </c>
      <c r="T247" s="9">
        <f t="shared" si="28"/>
        <v>1.5703659339543341</v>
      </c>
      <c r="U247" s="14">
        <f t="shared" si="31"/>
        <v>1.968035403810002E-7</v>
      </c>
      <c r="W247" s="14">
        <f t="shared" si="29"/>
        <v>0.16650102932259062</v>
      </c>
      <c r="X247" s="16">
        <f t="shared" si="32"/>
        <v>2.8241835421733391E-2</v>
      </c>
    </row>
    <row r="248" spans="1:24" x14ac:dyDescent="0.3">
      <c r="A248" s="9">
        <v>13</v>
      </c>
      <c r="B248" s="9">
        <v>0.97635838312361378</v>
      </c>
      <c r="C248" s="9">
        <v>0.98810848752736347</v>
      </c>
      <c r="D248" s="9">
        <v>0.96474800523293669</v>
      </c>
      <c r="E248" s="9">
        <v>0.49</v>
      </c>
      <c r="F248" s="9">
        <v>1</v>
      </c>
      <c r="G248" s="9">
        <v>1.36415440424998</v>
      </c>
      <c r="N248" s="9">
        <f t="shared" si="25"/>
        <v>1.8337559382282269</v>
      </c>
      <c r="O248" s="9">
        <f t="shared" si="26"/>
        <v>6.6092214866650494</v>
      </c>
      <c r="P248" s="9">
        <f t="shared" si="27"/>
        <v>-1.4244888100780582</v>
      </c>
      <c r="Q248" s="9">
        <f t="shared" si="30"/>
        <v>0.86220855827858456</v>
      </c>
      <c r="R248" s="9">
        <f t="shared" si="30"/>
        <v>0.99865393325345375</v>
      </c>
      <c r="S248" s="9">
        <f t="shared" si="30"/>
        <v>0.19395884414571532</v>
      </c>
      <c r="T248" s="9">
        <f t="shared" si="28"/>
        <v>1.3635465165536189</v>
      </c>
      <c r="U248" s="14">
        <f t="shared" si="31"/>
        <v>3.6952745138721594E-7</v>
      </c>
      <c r="W248" s="14">
        <f t="shared" si="29"/>
        <v>4.0558021272951002E-2</v>
      </c>
      <c r="X248" s="16">
        <f t="shared" si="32"/>
        <v>4.4561502309947772E-2</v>
      </c>
    </row>
    <row r="249" spans="1:24" x14ac:dyDescent="0.3">
      <c r="A249" s="9">
        <v>14</v>
      </c>
      <c r="B249" s="9">
        <v>0.95144310139704413</v>
      </c>
      <c r="C249" s="9">
        <v>0.97541944895365096</v>
      </c>
      <c r="D249" s="9">
        <v>0.92805610567545749</v>
      </c>
      <c r="E249" s="9">
        <v>0.35999999999999988</v>
      </c>
      <c r="F249" s="9">
        <v>1</v>
      </c>
      <c r="G249" s="9">
        <v>1.1744054263319199</v>
      </c>
      <c r="N249" s="9">
        <f t="shared" si="25"/>
        <v>1.408132363584921</v>
      </c>
      <c r="O249" s="9">
        <f t="shared" si="26"/>
        <v>6.3985857992932296</v>
      </c>
      <c r="P249" s="9">
        <f t="shared" si="27"/>
        <v>-1.8560458484768105</v>
      </c>
      <c r="Q249" s="9">
        <f t="shared" si="30"/>
        <v>0.80347120121445326</v>
      </c>
      <c r="R249" s="9">
        <f t="shared" si="30"/>
        <v>0.99833885528221145</v>
      </c>
      <c r="S249" s="9">
        <f t="shared" si="30"/>
        <v>0.13516460658420357</v>
      </c>
      <c r="T249" s="9">
        <f t="shared" si="28"/>
        <v>1.1726848740330609</v>
      </c>
      <c r="U249" s="14">
        <f t="shared" si="31"/>
        <v>2.9603002131091098E-6</v>
      </c>
      <c r="W249" s="14">
        <f t="shared" si="29"/>
        <v>1.3551854965609353E-4</v>
      </c>
      <c r="X249" s="16">
        <f t="shared" si="32"/>
        <v>0.14650411691581869</v>
      </c>
    </row>
    <row r="250" spans="1:24" x14ac:dyDescent="0.3">
      <c r="A250" s="9">
        <v>15</v>
      </c>
      <c r="B250" s="9">
        <v>0.91157954485698101</v>
      </c>
      <c r="C250" s="9">
        <v>0.95476674892718227</v>
      </c>
      <c r="D250" s="9">
        <v>0.87034583843162083</v>
      </c>
      <c r="E250" s="9">
        <v>0.25</v>
      </c>
      <c r="F250" s="9">
        <v>1</v>
      </c>
      <c r="G250" s="9">
        <v>1.0031391649607899</v>
      </c>
      <c r="N250" s="9">
        <f t="shared" si="25"/>
        <v>1.0488647257725328</v>
      </c>
      <c r="O250" s="9">
        <f t="shared" si="26"/>
        <v>6.0504699797629264</v>
      </c>
      <c r="P250" s="9">
        <f t="shared" si="27"/>
        <v>-2.2208963793066552</v>
      </c>
      <c r="Q250" s="9">
        <f t="shared" si="30"/>
        <v>0.74055683578632447</v>
      </c>
      <c r="R250" s="9">
        <f t="shared" si="30"/>
        <v>0.99764878711123517</v>
      </c>
      <c r="S250" s="9">
        <f t="shared" si="30"/>
        <v>9.788961897714317E-2</v>
      </c>
      <c r="T250" s="9">
        <f t="shared" si="28"/>
        <v>0.99905226505084432</v>
      </c>
      <c r="U250" s="14">
        <f t="shared" si="31"/>
        <v>1.670275087391332E-5</v>
      </c>
      <c r="W250" s="14">
        <f t="shared" si="29"/>
        <v>2.5480146338177148E-2</v>
      </c>
      <c r="X250" s="16">
        <f t="shared" si="32"/>
        <v>0.40741106046889741</v>
      </c>
    </row>
    <row r="251" spans="1:24" x14ac:dyDescent="0.3">
      <c r="A251" s="9">
        <v>16</v>
      </c>
      <c r="B251" s="9">
        <v>0.85026083486688353</v>
      </c>
      <c r="C251" s="9">
        <v>0.92209589244659562</v>
      </c>
      <c r="D251" s="9">
        <v>0.78402202333896664</v>
      </c>
      <c r="E251" s="9">
        <v>0.15999999999999992</v>
      </c>
      <c r="F251" s="9">
        <v>1</v>
      </c>
      <c r="G251" s="9">
        <v>0.85007980808635597</v>
      </c>
      <c r="N251" s="9">
        <f t="shared" si="25"/>
        <v>0.75568745404512028</v>
      </c>
      <c r="O251" s="9">
        <f t="shared" si="26"/>
        <v>5.5173358017085166</v>
      </c>
      <c r="P251" s="9">
        <f t="shared" si="27"/>
        <v>-2.5217709509807049</v>
      </c>
      <c r="Q251" s="9">
        <f t="shared" si="30"/>
        <v>0.68041670198963111</v>
      </c>
      <c r="R251" s="9">
        <f t="shared" si="30"/>
        <v>0.995999533467396</v>
      </c>
      <c r="S251" s="9">
        <f t="shared" si="30"/>
        <v>7.4345978794938108E-2</v>
      </c>
      <c r="T251" s="9">
        <f t="shared" si="28"/>
        <v>0.84917835603980341</v>
      </c>
      <c r="U251" s="14">
        <f t="shared" si="31"/>
        <v>8.1261579223380668E-7</v>
      </c>
      <c r="W251" s="14">
        <f t="shared" si="29"/>
        <v>9.7771518225339832E-2</v>
      </c>
      <c r="X251" s="16">
        <f t="shared" si="32"/>
        <v>0.10604322535102371</v>
      </c>
    </row>
    <row r="252" spans="1:24" x14ac:dyDescent="0.3">
      <c r="A252" s="9">
        <v>17</v>
      </c>
      <c r="B252" s="9">
        <v>0.75804016693539389</v>
      </c>
      <c r="C252" s="9">
        <v>0.87065502177119147</v>
      </c>
      <c r="D252" s="9">
        <v>0.65999147804657321</v>
      </c>
      <c r="E252" s="9">
        <v>9.000000000000008E-2</v>
      </c>
      <c r="F252" s="9">
        <v>1</v>
      </c>
      <c r="G252" s="9">
        <v>0.72895738987867598</v>
      </c>
      <c r="N252" s="9">
        <f t="shared" si="25"/>
        <v>0.52744600568780287</v>
      </c>
      <c r="O252" s="9">
        <f t="shared" si="26"/>
        <v>4.7445264315704652</v>
      </c>
      <c r="P252" s="9">
        <f t="shared" si="27"/>
        <v>-2.7681750451682756</v>
      </c>
      <c r="Q252" s="9">
        <f t="shared" si="30"/>
        <v>0.62888723661045509</v>
      </c>
      <c r="R252" s="9">
        <f t="shared" si="30"/>
        <v>0.99137584241727628</v>
      </c>
      <c r="S252" s="9">
        <f t="shared" si="30"/>
        <v>5.9068361578095828E-2</v>
      </c>
      <c r="T252" s="9">
        <f t="shared" si="28"/>
        <v>0.73279302649039746</v>
      </c>
      <c r="U252" s="14">
        <f t="shared" si="31"/>
        <v>1.4712108217178254E-5</v>
      </c>
      <c r="W252" s="14">
        <f t="shared" si="29"/>
        <v>0.18818833363362691</v>
      </c>
      <c r="X252" s="16">
        <f t="shared" si="32"/>
        <v>0.52618118218951959</v>
      </c>
    </row>
    <row r="253" spans="1:24" x14ac:dyDescent="0.3">
      <c r="A253" s="9">
        <v>18</v>
      </c>
      <c r="B253" s="9">
        <v>0.62081341767015485</v>
      </c>
      <c r="C253" s="9">
        <v>0.78791713883514092</v>
      </c>
      <c r="D253" s="9">
        <v>0.48914953180113391</v>
      </c>
      <c r="E253" s="9">
        <v>4.0000000000000036E-2</v>
      </c>
      <c r="F253" s="9">
        <v>1</v>
      </c>
      <c r="G253" s="9">
        <v>0.67261598479127505</v>
      </c>
      <c r="N253" s="9">
        <f t="shared" si="25"/>
        <v>0.36031488289657199</v>
      </c>
      <c r="O253" s="9">
        <f t="shared" si="26"/>
        <v>3.6870149967298764</v>
      </c>
      <c r="P253" s="9">
        <f t="shared" si="27"/>
        <v>-2.9942804893374095</v>
      </c>
      <c r="Q253" s="9">
        <f t="shared" si="30"/>
        <v>0.58911665619088138</v>
      </c>
      <c r="R253" s="9">
        <f t="shared" si="30"/>
        <v>0.97556535129980593</v>
      </c>
      <c r="S253" s="9">
        <f t="shared" si="30"/>
        <v>4.7684931431337146E-2</v>
      </c>
      <c r="T253" s="9">
        <f t="shared" si="28"/>
        <v>0.66744717689526378</v>
      </c>
      <c r="U253" s="14">
        <f t="shared" si="31"/>
        <v>2.6716575065868375E-5</v>
      </c>
      <c r="W253" s="14">
        <f t="shared" si="29"/>
        <v>0.24024525606649913</v>
      </c>
      <c r="X253" s="16">
        <f t="shared" si="32"/>
        <v>0.76846343424550601</v>
      </c>
    </row>
    <row r="254" spans="1:24" x14ac:dyDescent="0.3">
      <c r="A254" s="9">
        <v>19</v>
      </c>
      <c r="B254" s="9">
        <v>0.41411550520763146</v>
      </c>
      <c r="C254" s="9">
        <v>0.64351806906071529</v>
      </c>
      <c r="D254" s="9">
        <v>0.26649081027931787</v>
      </c>
      <c r="E254" s="9">
        <v>1.0000000000000009E-2</v>
      </c>
      <c r="F254" s="9">
        <v>1</v>
      </c>
      <c r="G254" s="9">
        <v>0.70712382133605201</v>
      </c>
      <c r="N254" s="9">
        <f t="shared" si="25"/>
        <v>0.24060150327547666</v>
      </c>
      <c r="O254" s="9">
        <f t="shared" si="26"/>
        <v>2.3756226503069526</v>
      </c>
      <c r="P254" s="9">
        <f t="shared" si="27"/>
        <v>-3.3515637908531346</v>
      </c>
      <c r="Q254" s="9">
        <f t="shared" si="30"/>
        <v>0.5598618749654245</v>
      </c>
      <c r="R254" s="9">
        <f t="shared" si="30"/>
        <v>0.91494942027892934</v>
      </c>
      <c r="S254" s="9">
        <f t="shared" si="30"/>
        <v>3.3843993131406229E-2</v>
      </c>
      <c r="T254" s="9">
        <f t="shared" si="28"/>
        <v>0.70902086098778194</v>
      </c>
      <c r="U254" s="14">
        <f t="shared" si="31"/>
        <v>3.5987594402356408E-6</v>
      </c>
      <c r="W254" s="14">
        <f t="shared" si="29"/>
        <v>0.20760813904640285</v>
      </c>
      <c r="X254" s="16">
        <f t="shared" si="32"/>
        <v>0.26827545537154124</v>
      </c>
    </row>
    <row r="255" spans="1:24" x14ac:dyDescent="0.3">
      <c r="A255" s="9">
        <v>20</v>
      </c>
      <c r="B255" s="9">
        <v>0.6046213212551188</v>
      </c>
      <c r="C255" s="9">
        <v>0.77757399728586529</v>
      </c>
      <c r="D255" s="9">
        <v>0.47013781761260415</v>
      </c>
      <c r="E255" s="9">
        <v>0.13</v>
      </c>
      <c r="F255" s="9">
        <v>1</v>
      </c>
      <c r="G255" s="9">
        <v>0.83938633178565802</v>
      </c>
      <c r="N255" s="9">
        <f t="shared" si="25"/>
        <v>0.65524437199029173</v>
      </c>
      <c r="O255" s="9">
        <f t="shared" si="26"/>
        <v>3.5538581803827873</v>
      </c>
      <c r="P255" s="9">
        <f t="shared" si="27"/>
        <v>-2.7053688871123587</v>
      </c>
      <c r="Q255" s="9">
        <f t="shared" si="30"/>
        <v>0.65819129488730621</v>
      </c>
      <c r="R255" s="9">
        <f t="shared" si="30"/>
        <v>0.97218195791484086</v>
      </c>
      <c r="S255" s="9">
        <f t="shared" si="30"/>
        <v>6.2657292663426414E-2</v>
      </c>
      <c r="T255" s="9">
        <f t="shared" si="28"/>
        <v>0.83579450189425175</v>
      </c>
      <c r="U255" s="14">
        <f t="shared" si="31"/>
        <v>1.2901241968799598E-5</v>
      </c>
      <c r="W255" s="14">
        <f t="shared" si="29"/>
        <v>0.10457323456313768</v>
      </c>
      <c r="X255" s="16">
        <f t="shared" si="32"/>
        <v>0.42791141044258346</v>
      </c>
    </row>
    <row r="256" spans="1:24" x14ac:dyDescent="0.3">
      <c r="A256" s="9">
        <v>21</v>
      </c>
      <c r="B256" s="9">
        <v>0.5360450892996631</v>
      </c>
      <c r="C256" s="9">
        <v>0.73215100170638503</v>
      </c>
      <c r="D256" s="9">
        <v>0.39246594909053695</v>
      </c>
      <c r="E256" s="9">
        <v>3.6250000000000004E-2</v>
      </c>
      <c r="F256" s="9">
        <v>1</v>
      </c>
      <c r="G256" s="9">
        <v>0.67161975003391705</v>
      </c>
      <c r="N256" s="9">
        <f t="shared" si="25"/>
        <v>0.34222632691108523</v>
      </c>
      <c r="O256" s="9">
        <f t="shared" si="26"/>
        <v>3.0998296098644693</v>
      </c>
      <c r="P256" s="9">
        <f t="shared" si="27"/>
        <v>-3.0799802209536722</v>
      </c>
      <c r="Q256" s="9">
        <f t="shared" si="30"/>
        <v>0.58473122278998657</v>
      </c>
      <c r="R256" s="9">
        <f t="shared" si="30"/>
        <v>0.95688571608569994</v>
      </c>
      <c r="S256" s="9">
        <f t="shared" si="30"/>
        <v>4.3940646303730152E-2</v>
      </c>
      <c r="T256" s="9">
        <f t="shared" si="28"/>
        <v>0.69053240805941507</v>
      </c>
      <c r="U256" s="14">
        <f t="shared" si="31"/>
        <v>3.5768863358943466E-4</v>
      </c>
      <c r="W256" s="14">
        <f t="shared" si="29"/>
        <v>0.24122285389252865</v>
      </c>
      <c r="X256" s="16">
        <f t="shared" si="32"/>
        <v>2.8159770501899208</v>
      </c>
    </row>
    <row r="257" spans="1:24" x14ac:dyDescent="0.3">
      <c r="A257" s="9">
        <v>22</v>
      </c>
      <c r="B257" s="9">
        <v>0.482056160699321</v>
      </c>
      <c r="C257" s="9">
        <v>0.69430264344831716</v>
      </c>
      <c r="D257" s="9">
        <v>0.33469286666408549</v>
      </c>
      <c r="E257" s="9">
        <v>1.8888888888888844E-2</v>
      </c>
      <c r="F257" s="9">
        <v>1</v>
      </c>
      <c r="G257" s="9">
        <v>0.69244983190043696</v>
      </c>
      <c r="N257" s="9">
        <f t="shared" si="25"/>
        <v>0.27953133069018399</v>
      </c>
      <c r="O257" s="9">
        <f t="shared" si="26"/>
        <v>2.7615767302568122</v>
      </c>
      <c r="P257" s="9">
        <f t="shared" si="27"/>
        <v>-3.2055319334445196</v>
      </c>
      <c r="Q257" s="9">
        <f t="shared" si="30"/>
        <v>0.56943131967086302</v>
      </c>
      <c r="R257" s="9">
        <f t="shared" si="30"/>
        <v>0.94056384002198024</v>
      </c>
      <c r="S257" s="9">
        <f t="shared" si="30"/>
        <v>3.8958076239359839E-2</v>
      </c>
      <c r="T257" s="9">
        <f t="shared" si="28"/>
        <v>0.68476342675195834</v>
      </c>
      <c r="U257" s="14">
        <f t="shared" si="31"/>
        <v>5.9080824106558721E-5</v>
      </c>
      <c r="W257" s="14">
        <f t="shared" si="29"/>
        <v>0.22119558871513853</v>
      </c>
      <c r="X257" s="16">
        <f t="shared" si="32"/>
        <v>1.1100306180136104</v>
      </c>
    </row>
    <row r="258" spans="1:24" x14ac:dyDescent="0.3">
      <c r="A258" s="9">
        <v>23</v>
      </c>
      <c r="B258" s="9">
        <v>0.44329834371454524</v>
      </c>
      <c r="C258" s="9">
        <v>0.66580653625099329</v>
      </c>
      <c r="D258" s="9">
        <v>0.29515093475438386</v>
      </c>
      <c r="E258" s="9">
        <v>1.2812500000000004E-2</v>
      </c>
      <c r="F258" s="9">
        <v>1</v>
      </c>
      <c r="G258" s="9">
        <v>0.699503927585851</v>
      </c>
      <c r="N258" s="9">
        <f t="shared" ref="N258:N274" si="33">B258*$I$1+C258*$J$1+D258*$K$1+E258*$L$1+F258*$M$1+$I$4</f>
        <v>0.25440958201949682</v>
      </c>
      <c r="O258" s="9">
        <f t="shared" ref="O258:O274" si="34">$I$2*B258+$J$2*C258+$K$2*D258+$L$2*E258+$M$2*F258+$I$5</f>
        <v>2.5354276358950525</v>
      </c>
      <c r="P258" s="9">
        <f t="shared" ref="P258:P274" si="35">$I$3*B258+$J$3*C258+$K$3*D258+$L$3*E258+$M$3*F258+$I$6</f>
        <v>-3.2873055016914048</v>
      </c>
      <c r="Q258" s="9">
        <f t="shared" si="30"/>
        <v>0.56326155006272938</v>
      </c>
      <c r="R258" s="9">
        <f t="shared" si="30"/>
        <v>0.92658840973794199</v>
      </c>
      <c r="S258" s="9">
        <f t="shared" si="30"/>
        <v>3.6009262064063192E-2</v>
      </c>
      <c r="T258" s="9">
        <f t="shared" ref="T258:T274" si="36">$I$7*Q258+$J$7*R258+$K$7*S258+$I$8</f>
        <v>0.69583282338962105</v>
      </c>
      <c r="U258" s="14">
        <f t="shared" si="31"/>
        <v>1.3477006019577201E-5</v>
      </c>
      <c r="W258" s="14">
        <f t="shared" ref="W258:W274" si="37">(G258-$V$4)^2</f>
        <v>0.21461006411334382</v>
      </c>
      <c r="X258" s="16">
        <f t="shared" si="32"/>
        <v>0.52481538007939177</v>
      </c>
    </row>
    <row r="259" spans="1:24" x14ac:dyDescent="0.3">
      <c r="A259" s="9">
        <v>24</v>
      </c>
      <c r="B259" s="9">
        <v>0.75641498946707786</v>
      </c>
      <c r="C259" s="9">
        <v>0.86972121364669375</v>
      </c>
      <c r="D259" s="9">
        <v>0.65787016265985809</v>
      </c>
      <c r="E259" s="9">
        <v>0.24222222222222223</v>
      </c>
      <c r="F259" s="9">
        <v>1</v>
      </c>
      <c r="G259" s="9">
        <v>0.99590062192849904</v>
      </c>
      <c r="N259" s="9">
        <f t="shared" si="33"/>
        <v>1.0277005975114726</v>
      </c>
      <c r="O259" s="9">
        <f t="shared" si="34"/>
        <v>4.7035300758315355</v>
      </c>
      <c r="P259" s="9">
        <f t="shared" si="35"/>
        <v>-2.2606885506215537</v>
      </c>
      <c r="Q259" s="9">
        <f t="shared" ref="Q259:S274" si="38">1/(1+EXP(-N259))</f>
        <v>0.73646986591442265</v>
      </c>
      <c r="R259" s="9">
        <f t="shared" si="38"/>
        <v>0.99101817760513233</v>
      </c>
      <c r="S259" s="9">
        <f t="shared" si="38"/>
        <v>9.4431471671059308E-2</v>
      </c>
      <c r="T259" s="9">
        <f t="shared" si="36"/>
        <v>0.99947108925868722</v>
      </c>
      <c r="U259" s="14">
        <f t="shared" ref="U259:U274" si="39">(G259-T259)^2</f>
        <v>1.2748236955941082E-5</v>
      </c>
      <c r="W259" s="14">
        <f t="shared" si="37"/>
        <v>2.7843447965542775E-2</v>
      </c>
      <c r="X259" s="16">
        <f t="shared" ref="X259:X274" si="40">100*ABS((T259-G259)/G259)</f>
        <v>0.35851642739957229</v>
      </c>
    </row>
    <row r="260" spans="1:24" x14ac:dyDescent="0.3">
      <c r="A260" s="9">
        <v>25</v>
      </c>
      <c r="B260" s="9">
        <v>0.84330333318766382</v>
      </c>
      <c r="C260" s="9">
        <v>0.91831548674062113</v>
      </c>
      <c r="D260" s="9">
        <v>0.77441851088621827</v>
      </c>
      <c r="E260" s="9">
        <v>0.32624999999999993</v>
      </c>
      <c r="F260" s="9">
        <v>1</v>
      </c>
      <c r="G260" s="9">
        <v>1.1263842818891701</v>
      </c>
      <c r="N260" s="9">
        <f t="shared" si="33"/>
        <v>1.3022608761132168</v>
      </c>
      <c r="O260" s="9">
        <f t="shared" si="34"/>
        <v>5.4261533290329567</v>
      </c>
      <c r="P260" s="9">
        <f t="shared" si="35"/>
        <v>-1.9675164913807679</v>
      </c>
      <c r="Q260" s="9">
        <f t="shared" si="38"/>
        <v>0.78621523889259903</v>
      </c>
      <c r="R260" s="9">
        <f t="shared" si="38"/>
        <v>0.99561928648977904</v>
      </c>
      <c r="S260" s="9">
        <f t="shared" si="38"/>
        <v>0.12265589036317907</v>
      </c>
      <c r="T260" s="9">
        <f t="shared" si="36"/>
        <v>1.1273454549744153</v>
      </c>
      <c r="U260" s="14">
        <f t="shared" si="39"/>
        <v>9.2385369979984795E-7</v>
      </c>
      <c r="W260" s="14">
        <f t="shared" si="37"/>
        <v>1.3234971943862123E-3</v>
      </c>
      <c r="X260" s="16">
        <f t="shared" si="40"/>
        <v>8.5332608124925102E-2</v>
      </c>
    </row>
    <row r="261" spans="1:24" x14ac:dyDescent="0.3">
      <c r="A261" s="9">
        <v>26</v>
      </c>
      <c r="B261" s="9">
        <v>0.82722243711388821</v>
      </c>
      <c r="C261" s="9">
        <v>0.90951769477778055</v>
      </c>
      <c r="D261" s="9">
        <v>0.75237344407228135</v>
      </c>
      <c r="E261" s="9">
        <v>0.17000000000000004</v>
      </c>
      <c r="F261" s="9">
        <v>1</v>
      </c>
      <c r="G261" s="9">
        <v>0.87025636808990203</v>
      </c>
      <c r="N261" s="9">
        <f t="shared" si="33"/>
        <v>0.78924611886707796</v>
      </c>
      <c r="O261" s="9">
        <f t="shared" si="34"/>
        <v>5.3145430647072081</v>
      </c>
      <c r="P261" s="9">
        <f t="shared" si="35"/>
        <v>-2.4901088957158795</v>
      </c>
      <c r="Q261" s="9">
        <f t="shared" si="38"/>
        <v>0.68766943476771947</v>
      </c>
      <c r="R261" s="9">
        <f t="shared" si="38"/>
        <v>0.99510455711231482</v>
      </c>
      <c r="S261" s="9">
        <f t="shared" si="38"/>
        <v>7.6554498733164847E-2</v>
      </c>
      <c r="T261" s="9">
        <f t="shared" si="36"/>
        <v>0.86865847306662247</v>
      </c>
      <c r="U261" s="14">
        <f t="shared" si="39"/>
        <v>2.553268505421588E-6</v>
      </c>
      <c r="W261" s="14">
        <f t="shared" si="37"/>
        <v>8.5560821699477957E-2</v>
      </c>
      <c r="X261" s="16">
        <f t="shared" si="40"/>
        <v>0.18361198858983702</v>
      </c>
    </row>
    <row r="262" spans="1:24" x14ac:dyDescent="0.3">
      <c r="A262" s="9">
        <v>27</v>
      </c>
      <c r="B262" s="9">
        <v>0.79294453563825062</v>
      </c>
      <c r="C262" s="9">
        <v>0.8904743318244781</v>
      </c>
      <c r="D262" s="9">
        <v>0.70609675554634266</v>
      </c>
      <c r="E262" s="9">
        <v>0.11531250000000004</v>
      </c>
      <c r="F262" s="9">
        <v>1</v>
      </c>
      <c r="G262" s="9">
        <v>0.76795878935568795</v>
      </c>
      <c r="N262" s="9">
        <f t="shared" si="33"/>
        <v>0.61026415545856383</v>
      </c>
      <c r="O262" s="9">
        <f t="shared" si="34"/>
        <v>5.0312061632142626</v>
      </c>
      <c r="P262" s="9">
        <f t="shared" si="35"/>
        <v>-2.6768687180435409</v>
      </c>
      <c r="Q262" s="9">
        <f t="shared" si="38"/>
        <v>0.64800105715680656</v>
      </c>
      <c r="R262" s="9">
        <f t="shared" si="38"/>
        <v>0.99351144781777101</v>
      </c>
      <c r="S262" s="9">
        <f t="shared" si="38"/>
        <v>6.4352156893697429E-2</v>
      </c>
      <c r="T262" s="9">
        <f t="shared" si="36"/>
        <v>0.77469039638484249</v>
      </c>
      <c r="U262" s="14">
        <f t="shared" si="39"/>
        <v>4.5314533194962818E-5</v>
      </c>
      <c r="W262" s="14">
        <f t="shared" si="37"/>
        <v>0.15587129873726027</v>
      </c>
      <c r="X262" s="16">
        <f t="shared" si="40"/>
        <v>0.87655836777417595</v>
      </c>
    </row>
    <row r="263" spans="1:24" x14ac:dyDescent="0.3">
      <c r="A263" s="9">
        <v>28</v>
      </c>
      <c r="B263" s="9">
        <v>0.72336966320800022</v>
      </c>
      <c r="C263" s="9">
        <v>0.8505114127441209</v>
      </c>
      <c r="D263" s="9">
        <v>0.61523415419127547</v>
      </c>
      <c r="E263" s="9">
        <v>9.9999999999999978E-2</v>
      </c>
      <c r="F263" s="9">
        <v>1</v>
      </c>
      <c r="G263" s="9">
        <v>0.75486218138234795</v>
      </c>
      <c r="N263" s="9">
        <f t="shared" si="33"/>
        <v>0.5602653305007107</v>
      </c>
      <c r="O263" s="9">
        <f t="shared" si="34"/>
        <v>4.4610469780122468</v>
      </c>
      <c r="P263" s="9">
        <f t="shared" si="35"/>
        <v>-2.7444684834197233</v>
      </c>
      <c r="Q263" s="9">
        <f t="shared" si="38"/>
        <v>0.63651393041668869</v>
      </c>
      <c r="R263" s="9">
        <f t="shared" si="38"/>
        <v>0.98858162120819337</v>
      </c>
      <c r="S263" s="9">
        <f t="shared" si="38"/>
        <v>6.039981070021716E-2</v>
      </c>
      <c r="T263" s="9">
        <f t="shared" si="36"/>
        <v>0.75574995376126775</v>
      </c>
      <c r="U263" s="14">
        <f t="shared" si="39"/>
        <v>7.8813979677290906E-7</v>
      </c>
      <c r="W263" s="14">
        <f t="shared" si="37"/>
        <v>0.16638404280654601</v>
      </c>
      <c r="X263" s="16">
        <f t="shared" si="40"/>
        <v>0.11760721371602594</v>
      </c>
    </row>
    <row r="264" spans="1:24" x14ac:dyDescent="0.3">
      <c r="A264" s="9">
        <v>29</v>
      </c>
      <c r="B264" s="9">
        <v>0.90058022766249946</v>
      </c>
      <c r="C264" s="9">
        <v>0.94898905560733393</v>
      </c>
      <c r="D264" s="9">
        <v>0.85464077974807318</v>
      </c>
      <c r="E264" s="9">
        <v>0.39999999999999991</v>
      </c>
      <c r="F264" s="9">
        <v>1</v>
      </c>
      <c r="G264" s="9">
        <v>1.2353766780642299</v>
      </c>
      <c r="N264" s="9">
        <f t="shared" si="33"/>
        <v>1.5423498259877886</v>
      </c>
      <c r="O264" s="9">
        <f t="shared" si="34"/>
        <v>5.9231738108091374</v>
      </c>
      <c r="P264" s="9">
        <f t="shared" si="35"/>
        <v>-1.7201690334567257</v>
      </c>
      <c r="Q264" s="9">
        <f t="shared" si="38"/>
        <v>0.82380606116606914</v>
      </c>
      <c r="R264" s="9">
        <f t="shared" si="38"/>
        <v>0.99733045418083177</v>
      </c>
      <c r="S264" s="9">
        <f t="shared" si="38"/>
        <v>0.15184939236146588</v>
      </c>
      <c r="T264" s="9">
        <f t="shared" si="36"/>
        <v>1.2366526787891616</v>
      </c>
      <c r="U264" s="14">
        <f t="shared" si="39"/>
        <v>1.6281778500262879E-6</v>
      </c>
      <c r="W264" s="14">
        <f t="shared" si="37"/>
        <v>5.2725744603056152E-3</v>
      </c>
      <c r="X264" s="16">
        <f t="shared" si="40"/>
        <v>0.10328839353930098</v>
      </c>
    </row>
    <row r="265" spans="1:24" x14ac:dyDescent="0.3">
      <c r="A265" s="9">
        <v>30</v>
      </c>
      <c r="B265" s="9">
        <v>0.93966736106488868</v>
      </c>
      <c r="C265" s="9">
        <v>0.96936441087182934</v>
      </c>
      <c r="D265" s="9">
        <v>0.91088009787415281</v>
      </c>
      <c r="E265" s="9">
        <v>0.47222222222222221</v>
      </c>
      <c r="F265" s="9">
        <v>1</v>
      </c>
      <c r="G265" s="9">
        <v>1.3438627661032401</v>
      </c>
      <c r="N265" s="9">
        <f t="shared" si="33"/>
        <v>1.7776277086163417</v>
      </c>
      <c r="O265" s="9">
        <f t="shared" si="34"/>
        <v>6.2686287570933192</v>
      </c>
      <c r="P265" s="9">
        <f t="shared" si="35"/>
        <v>-1.4808127781652596</v>
      </c>
      <c r="Q265" s="9">
        <f t="shared" si="38"/>
        <v>0.85540368873694062</v>
      </c>
      <c r="R265" s="9">
        <f t="shared" si="38"/>
        <v>0.99810875850376546</v>
      </c>
      <c r="S265" s="9">
        <f t="shared" si="38"/>
        <v>0.18530468534054048</v>
      </c>
      <c r="T265" s="9">
        <f t="shared" si="36"/>
        <v>1.3402731647666613</v>
      </c>
      <c r="U265" s="14">
        <f t="shared" si="39"/>
        <v>1.2885237755568438E-5</v>
      </c>
      <c r="W265" s="14">
        <f t="shared" si="37"/>
        <v>3.2796696854008905E-2</v>
      </c>
      <c r="X265" s="16">
        <f t="shared" si="40"/>
        <v>0.26711070706925538</v>
      </c>
    </row>
    <row r="266" spans="1:24" x14ac:dyDescent="0.3">
      <c r="A266" s="9">
        <v>31</v>
      </c>
      <c r="B266" s="9">
        <v>0.93311773293603162</v>
      </c>
      <c r="C266" s="9">
        <v>0.96598019282800607</v>
      </c>
      <c r="D266" s="9">
        <v>0.90137324759278015</v>
      </c>
      <c r="E266" s="9">
        <v>0.3203125</v>
      </c>
      <c r="F266" s="9">
        <v>1</v>
      </c>
      <c r="G266" s="9">
        <v>1.11404949011282</v>
      </c>
      <c r="N266" s="9">
        <f t="shared" si="33"/>
        <v>1.2787812518615782</v>
      </c>
      <c r="O266" s="9">
        <f t="shared" si="34"/>
        <v>6.2355478078885529</v>
      </c>
      <c r="P266" s="9">
        <f t="shared" si="35"/>
        <v>-1.9872519747487543</v>
      </c>
      <c r="Q266" s="9">
        <f t="shared" si="38"/>
        <v>0.78224224711342172</v>
      </c>
      <c r="R266" s="9">
        <f t="shared" si="38"/>
        <v>0.99804527243544927</v>
      </c>
      <c r="S266" s="9">
        <f t="shared" si="38"/>
        <v>0.12054789373073133</v>
      </c>
      <c r="T266" s="9">
        <f t="shared" si="36"/>
        <v>1.1118266915412116</v>
      </c>
      <c r="U266" s="14">
        <f t="shared" si="39"/>
        <v>4.940833489944086E-6</v>
      </c>
      <c r="W266" s="14">
        <f t="shared" si="37"/>
        <v>2.3731212891024206E-3</v>
      </c>
      <c r="X266" s="16">
        <f t="shared" si="40"/>
        <v>0.19952422144039927</v>
      </c>
    </row>
    <row r="267" spans="1:24" x14ac:dyDescent="0.3">
      <c r="A267" s="9">
        <v>32</v>
      </c>
      <c r="B267" s="9">
        <v>0.67803485561868637</v>
      </c>
      <c r="C267" s="9">
        <v>0.82342871920931104</v>
      </c>
      <c r="D267" s="9">
        <v>0.55831337274136517</v>
      </c>
      <c r="E267" s="9">
        <v>6.0816326530612308E-2</v>
      </c>
      <c r="F267" s="9">
        <v>1</v>
      </c>
      <c r="G267" s="9">
        <v>0.69018456928612204</v>
      </c>
      <c r="N267" s="9">
        <f t="shared" si="33"/>
        <v>0.43078293716448546</v>
      </c>
      <c r="O267" s="9">
        <f t="shared" si="34"/>
        <v>4.1119547862018342</v>
      </c>
      <c r="P267" s="9">
        <f t="shared" si="35"/>
        <v>-2.8928327330887198</v>
      </c>
      <c r="Q267" s="9">
        <f t="shared" si="38"/>
        <v>0.60606061109157772</v>
      </c>
      <c r="R267" s="9">
        <f t="shared" si="38"/>
        <v>0.98388811180253188</v>
      </c>
      <c r="S267" s="9">
        <f t="shared" si="38"/>
        <v>5.2509006053063717E-2</v>
      </c>
      <c r="T267" s="9">
        <f t="shared" si="36"/>
        <v>0.69214582521414048</v>
      </c>
      <c r="U267" s="14">
        <f t="shared" si="39"/>
        <v>3.8465248151874529E-6</v>
      </c>
      <c r="W267" s="14">
        <f t="shared" si="37"/>
        <v>0.22333149116224305</v>
      </c>
      <c r="X267" s="16">
        <f t="shared" si="40"/>
        <v>0.28416397805691584</v>
      </c>
    </row>
    <row r="268" spans="1:24" x14ac:dyDescent="0.3">
      <c r="A268" s="9">
        <v>33</v>
      </c>
      <c r="B268" s="9">
        <v>0.89158042542455807</v>
      </c>
      <c r="C268" s="9">
        <v>0.94423536548074616</v>
      </c>
      <c r="D268" s="9">
        <v>0.8418617688562372</v>
      </c>
      <c r="E268" s="9">
        <v>0.2432653061224489</v>
      </c>
      <c r="F268" s="9">
        <v>1</v>
      </c>
      <c r="G268" s="9">
        <v>0.99434349990141502</v>
      </c>
      <c r="N268" s="9">
        <f t="shared" si="33"/>
        <v>1.0276912047688949</v>
      </c>
      <c r="O268" s="9">
        <f t="shared" si="34"/>
        <v>5.8702128337964563</v>
      </c>
      <c r="P268" s="9">
        <f t="shared" si="35"/>
        <v>-2.2429917174614182</v>
      </c>
      <c r="Q268" s="9">
        <f t="shared" si="38"/>
        <v>0.73646804294808499</v>
      </c>
      <c r="R268" s="9">
        <f t="shared" si="38"/>
        <v>0.99718567021074012</v>
      </c>
      <c r="S268" s="9">
        <f t="shared" si="38"/>
        <v>9.5955701693760373E-2</v>
      </c>
      <c r="T268" s="9">
        <f t="shared" si="36"/>
        <v>0.98916043574850832</v>
      </c>
      <c r="U268" s="14">
        <f t="shared" si="39"/>
        <v>2.686415401314647E-5</v>
      </c>
      <c r="W268" s="14">
        <f t="shared" si="37"/>
        <v>2.836552644702706E-2</v>
      </c>
      <c r="X268" s="16">
        <f t="shared" si="40"/>
        <v>0.52125489364797795</v>
      </c>
    </row>
    <row r="269" spans="1:24" x14ac:dyDescent="0.3">
      <c r="A269" s="9">
        <v>34</v>
      </c>
      <c r="B269" s="9">
        <v>0.96611717808573394</v>
      </c>
      <c r="C269" s="9">
        <v>0.98291259941346465</v>
      </c>
      <c r="D269" s="9">
        <v>0.94960874685025021</v>
      </c>
      <c r="E269" s="9">
        <v>0.54734693877551011</v>
      </c>
      <c r="F269" s="9">
        <v>1</v>
      </c>
      <c r="G269" s="9">
        <v>1.44459378255215</v>
      </c>
      <c r="N269" s="9">
        <f t="shared" si="33"/>
        <v>2.022889158475512</v>
      </c>
      <c r="O269" s="9">
        <f t="shared" si="34"/>
        <v>6.5021586314572826</v>
      </c>
      <c r="P269" s="9">
        <f t="shared" si="35"/>
        <v>-1.2321934877645262</v>
      </c>
      <c r="Q269" s="9">
        <f t="shared" si="38"/>
        <v>0.8831794239575006</v>
      </c>
      <c r="R269" s="9">
        <f t="shared" si="38"/>
        <v>0.99850204989862823</v>
      </c>
      <c r="S269" s="9">
        <f t="shared" si="38"/>
        <v>0.22579774466908797</v>
      </c>
      <c r="T269" s="9">
        <f t="shared" si="36"/>
        <v>1.4449169961403467</v>
      </c>
      <c r="U269" s="14">
        <f t="shared" si="39"/>
        <v>1.0446702359502342E-7</v>
      </c>
      <c r="W269" s="14">
        <f t="shared" si="37"/>
        <v>7.9427923264660832E-2</v>
      </c>
      <c r="X269" s="16">
        <f t="shared" si="40"/>
        <v>2.2374012134105933E-2</v>
      </c>
    </row>
    <row r="270" spans="1:24" x14ac:dyDescent="0.3">
      <c r="A270" s="9">
        <v>35</v>
      </c>
      <c r="B270" s="9">
        <v>0.98325960470347551</v>
      </c>
      <c r="C270" s="9">
        <v>0.99159447593432848</v>
      </c>
      <c r="D270" s="9">
        <v>0.97499479243333798</v>
      </c>
      <c r="E270" s="9">
        <v>0.62781249999999988</v>
      </c>
      <c r="F270" s="9">
        <v>1</v>
      </c>
      <c r="G270" s="9">
        <v>1.55222530718841</v>
      </c>
      <c r="N270" s="9">
        <f t="shared" si="33"/>
        <v>2.2861799792889959</v>
      </c>
      <c r="O270" s="9">
        <f t="shared" si="34"/>
        <v>6.6496478295932064</v>
      </c>
      <c r="P270" s="9">
        <f t="shared" si="35"/>
        <v>-0.96539422002572728</v>
      </c>
      <c r="Q270" s="9">
        <f t="shared" si="38"/>
        <v>0.90772598492558476</v>
      </c>
      <c r="R270" s="9">
        <f t="shared" si="38"/>
        <v>0.99870719560470989</v>
      </c>
      <c r="S270" s="9">
        <f t="shared" si="38"/>
        <v>0.27579948307711288</v>
      </c>
      <c r="T270" s="9">
        <f t="shared" si="36"/>
        <v>1.5543302150508684</v>
      </c>
      <c r="U270" s="14">
        <f t="shared" si="39"/>
        <v>4.4306371094393054E-6</v>
      </c>
      <c r="W270" s="14">
        <f t="shared" si="37"/>
        <v>0.15167996736594527</v>
      </c>
      <c r="X270" s="16">
        <f t="shared" si="40"/>
        <v>0.13560582041218661</v>
      </c>
    </row>
    <row r="271" spans="1:24" x14ac:dyDescent="0.3">
      <c r="A271" s="9">
        <v>36</v>
      </c>
      <c r="B271" s="9">
        <v>0.63822315837842447</v>
      </c>
      <c r="C271" s="9">
        <v>0.79888870212215701</v>
      </c>
      <c r="D271" s="9">
        <v>0.50986927066124366</v>
      </c>
      <c r="E271" s="9">
        <v>4.4691358024691374E-2</v>
      </c>
      <c r="F271" s="9">
        <v>1</v>
      </c>
      <c r="G271" s="9">
        <v>0.67855109905470301</v>
      </c>
      <c r="N271" s="9">
        <f t="shared" si="33"/>
        <v>0.37650352237233353</v>
      </c>
      <c r="O271" s="9">
        <f t="shared" si="34"/>
        <v>3.8140305146213813</v>
      </c>
      <c r="P271" s="9">
        <f t="shared" si="35"/>
        <v>-2.9676072628031607</v>
      </c>
      <c r="Q271" s="9">
        <f t="shared" si="38"/>
        <v>0.59302951901953338</v>
      </c>
      <c r="R271" s="9">
        <f t="shared" si="38"/>
        <v>0.97841701104152512</v>
      </c>
      <c r="S271" s="9">
        <f t="shared" si="38"/>
        <v>4.891090980046664E-2</v>
      </c>
      <c r="T271" s="9">
        <f t="shared" si="36"/>
        <v>0.67145915422506031</v>
      </c>
      <c r="U271" s="14">
        <f t="shared" si="39"/>
        <v>5.0295681466695891E-5</v>
      </c>
      <c r="W271" s="14">
        <f t="shared" si="37"/>
        <v>0.23446231052475927</v>
      </c>
      <c r="X271" s="16">
        <f t="shared" si="40"/>
        <v>1.0451600239867818</v>
      </c>
    </row>
    <row r="272" spans="1:24" x14ac:dyDescent="0.3">
      <c r="A272" s="9">
        <v>37</v>
      </c>
      <c r="B272" s="9">
        <v>0.86512518623928769</v>
      </c>
      <c r="C272" s="9">
        <v>0.93012105999127204</v>
      </c>
      <c r="D272" s="9">
        <v>0.80467115525003297</v>
      </c>
      <c r="E272" s="9">
        <v>0.17876543209876539</v>
      </c>
      <c r="F272" s="9">
        <v>1</v>
      </c>
      <c r="G272" s="9">
        <v>0.86951474216549596</v>
      </c>
      <c r="N272" s="9">
        <f t="shared" si="33"/>
        <v>0.81682514493288882</v>
      </c>
      <c r="O272" s="9">
        <f t="shared" si="34"/>
        <v>5.6452119943361021</v>
      </c>
      <c r="P272" s="9">
        <f t="shared" si="35"/>
        <v>-2.4585213922445588</v>
      </c>
      <c r="Q272" s="9">
        <f t="shared" si="38"/>
        <v>0.69356199121218398</v>
      </c>
      <c r="R272" s="9">
        <f t="shared" si="38"/>
        <v>0.99647804893139447</v>
      </c>
      <c r="S272" s="9">
        <f t="shared" si="38"/>
        <v>7.8817625254061108E-2</v>
      </c>
      <c r="T272" s="9">
        <f t="shared" si="36"/>
        <v>0.88091582289821246</v>
      </c>
      <c r="U272" s="14">
        <f t="shared" si="39"/>
        <v>1.2998464187391956E-4</v>
      </c>
      <c r="W272" s="14">
        <f t="shared" si="37"/>
        <v>8.5995234465534129E-2</v>
      </c>
      <c r="X272" s="16">
        <f t="shared" si="40"/>
        <v>1.3112003948688109</v>
      </c>
    </row>
    <row r="273" spans="1:24" x14ac:dyDescent="0.3">
      <c r="A273" s="9">
        <v>38</v>
      </c>
      <c r="B273" s="9">
        <v>0.9598686322313662</v>
      </c>
      <c r="C273" s="9">
        <v>0.97972885648600039</v>
      </c>
      <c r="D273" s="9">
        <v>0.94041099743281709</v>
      </c>
      <c r="E273" s="9">
        <v>0.40222222222222215</v>
      </c>
      <c r="F273" s="9">
        <v>1</v>
      </c>
      <c r="G273" s="9">
        <v>1.2342222571948001</v>
      </c>
      <c r="N273" s="9">
        <f t="shared" si="33"/>
        <v>1.5463649478535308</v>
      </c>
      <c r="O273" s="9">
        <f t="shared" si="34"/>
        <v>6.469777834863379</v>
      </c>
      <c r="P273" s="9">
        <f t="shared" si="35"/>
        <v>-1.7158455178831158</v>
      </c>
      <c r="Q273" s="9">
        <f t="shared" si="38"/>
        <v>0.82438809713936712</v>
      </c>
      <c r="R273" s="9">
        <f t="shared" si="38"/>
        <v>0.99845282749691677</v>
      </c>
      <c r="S273" s="9">
        <f t="shared" si="38"/>
        <v>0.15240706147739677</v>
      </c>
      <c r="T273" s="9">
        <f t="shared" si="36"/>
        <v>1.2363202201405681</v>
      </c>
      <c r="U273" s="14">
        <f t="shared" si="39"/>
        <v>4.4014485218156623E-6</v>
      </c>
      <c r="W273" s="14">
        <f t="shared" si="37"/>
        <v>5.1062563881508266E-3</v>
      </c>
      <c r="X273" s="16">
        <f t="shared" si="40"/>
        <v>0.16998258891687626</v>
      </c>
    </row>
    <row r="274" spans="1:24" x14ac:dyDescent="0.3">
      <c r="A274" s="9">
        <v>39</v>
      </c>
      <c r="B274" s="9">
        <v>0.99334100566047745</v>
      </c>
      <c r="C274" s="9">
        <v>0.99666494152271545</v>
      </c>
      <c r="D274" s="9">
        <v>0.99002815531871613</v>
      </c>
      <c r="E274" s="9">
        <v>0.71506172839506177</v>
      </c>
      <c r="F274" s="9">
        <v>1</v>
      </c>
      <c r="G274" s="9">
        <v>1.67391244826904</v>
      </c>
      <c r="N274" s="9">
        <f t="shared" si="33"/>
        <v>2.5722015110976302</v>
      </c>
      <c r="O274" s="9">
        <f t="shared" si="34"/>
        <v>6.7298279373986087</v>
      </c>
      <c r="P274" s="9">
        <f t="shared" si="35"/>
        <v>-0.6753936219972978</v>
      </c>
      <c r="Q274" s="9">
        <f t="shared" si="38"/>
        <v>0.92905094628730955</v>
      </c>
      <c r="R274" s="9">
        <f t="shared" si="38"/>
        <v>0.99880668718650023</v>
      </c>
      <c r="S274" s="9">
        <f t="shared" si="38"/>
        <v>0.3372901726371072</v>
      </c>
      <c r="T274" s="9">
        <f t="shared" si="36"/>
        <v>1.6706869800878066</v>
      </c>
      <c r="U274" s="14">
        <f t="shared" si="39"/>
        <v>1.0403644988148909E-5</v>
      </c>
      <c r="W274" s="14">
        <f t="shared" si="37"/>
        <v>0.26127254923434001</v>
      </c>
      <c r="X274" s="16">
        <f t="shared" si="40"/>
        <v>0.19269037544757875</v>
      </c>
    </row>
  </sheetData>
  <mergeCells count="2">
    <mergeCell ref="H1:H3"/>
    <mergeCell ref="H4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C42A-2146-47BF-91D9-587AE03CFA31}">
  <dimension ref="A1:AC284"/>
  <sheetViews>
    <sheetView tabSelected="1" zoomScale="120" zoomScaleNormal="120" workbookViewId="0">
      <pane xSplit="8" topLeftCell="I1" activePane="topRight" state="frozen"/>
      <selection pane="topRight" activeCell="E11" sqref="E11"/>
    </sheetView>
  </sheetViews>
  <sheetFormatPr baseColWidth="10" defaultColWidth="0" defaultRowHeight="14.4" zeroHeight="1" x14ac:dyDescent="0.3"/>
  <cols>
    <col min="1" max="1" width="12.77734375" customWidth="1"/>
    <col min="2" max="15" width="11.5546875" customWidth="1"/>
    <col min="16" max="29" width="0" hidden="1" customWidth="1"/>
    <col min="30" max="16384" width="11.5546875" hidden="1"/>
  </cols>
  <sheetData>
    <row r="1" spans="1:8" x14ac:dyDescent="0.3">
      <c r="A1" s="27" t="s">
        <v>0</v>
      </c>
      <c r="B1" s="3">
        <v>-0.32765494807491558</v>
      </c>
      <c r="C1" s="3">
        <v>0.72687062510093525</v>
      </c>
      <c r="D1" s="3">
        <v>-7.2350039976552774E-2</v>
      </c>
      <c r="E1" s="4">
        <v>3.2862966229499309</v>
      </c>
      <c r="F1" s="4">
        <v>9.1800977337616552E-2</v>
      </c>
    </row>
    <row r="2" spans="1:8" x14ac:dyDescent="0.3">
      <c r="A2" s="27"/>
      <c r="B2" s="3">
        <v>7.3082589879422883</v>
      </c>
      <c r="C2" s="3">
        <v>-7.5692100639142694</v>
      </c>
      <c r="D2" s="3">
        <v>4.0385607449673513</v>
      </c>
      <c r="E2" s="4">
        <v>-0.18144700754674079</v>
      </c>
      <c r="F2" s="4">
        <v>-0.65293346736532132</v>
      </c>
    </row>
    <row r="3" spans="1:8" x14ac:dyDescent="0.3">
      <c r="A3" s="27"/>
      <c r="B3" s="3">
        <v>-14.680256234274914</v>
      </c>
      <c r="C3" s="3">
        <v>16.101272741407691</v>
      </c>
      <c r="D3" s="3">
        <v>4.3409983084039236</v>
      </c>
      <c r="E3" s="4">
        <v>3.3363893344708435</v>
      </c>
      <c r="F3" s="4">
        <v>3.4410405045473963E-2</v>
      </c>
    </row>
    <row r="4" spans="1:8" x14ac:dyDescent="0.3">
      <c r="A4" s="28" t="s">
        <v>13</v>
      </c>
      <c r="B4" s="5">
        <v>-0.19684920628063166</v>
      </c>
    </row>
    <row r="5" spans="1:8" x14ac:dyDescent="0.3">
      <c r="A5" s="28"/>
      <c r="B5" s="5">
        <v>3.7985913441242558</v>
      </c>
    </row>
    <row r="6" spans="1:8" x14ac:dyDescent="0.3">
      <c r="A6" s="28"/>
      <c r="B6" s="5">
        <v>-8.8583124628073957</v>
      </c>
    </row>
    <row r="7" spans="1:8" x14ac:dyDescent="0.3">
      <c r="A7" s="11" t="s">
        <v>1</v>
      </c>
      <c r="B7" s="7">
        <v>2.0871891758359209</v>
      </c>
      <c r="C7" s="7">
        <v>-1.9607059523626409</v>
      </c>
      <c r="D7" s="7">
        <v>1.1716019247753549</v>
      </c>
    </row>
    <row r="8" spans="1:8" x14ac:dyDescent="0.3">
      <c r="A8" s="12" t="s">
        <v>12</v>
      </c>
      <c r="B8" s="8">
        <v>1.2947783025535493</v>
      </c>
    </row>
    <row r="9" spans="1:8" x14ac:dyDescent="0.3"/>
    <row r="10" spans="1:8" x14ac:dyDescent="0.3">
      <c r="A10" s="6" t="s">
        <v>27</v>
      </c>
      <c r="B10" s="6" t="s">
        <v>28</v>
      </c>
      <c r="C10" s="18" t="s">
        <v>29</v>
      </c>
      <c r="D10" s="18" t="s">
        <v>30</v>
      </c>
      <c r="E10" s="6" t="s">
        <v>38</v>
      </c>
      <c r="F10" s="18" t="s">
        <v>31</v>
      </c>
    </row>
    <row r="11" spans="1:8" x14ac:dyDescent="0.3">
      <c r="A11" s="6" t="s">
        <v>34</v>
      </c>
      <c r="B11" s="24">
        <v>0.88470000000000004</v>
      </c>
      <c r="C11" s="24">
        <v>0.94059999999999999</v>
      </c>
      <c r="D11" s="24">
        <v>1.2018</v>
      </c>
      <c r="E11" s="24">
        <v>2.1575000000000002</v>
      </c>
      <c r="F11" s="1">
        <v>10000000000</v>
      </c>
    </row>
    <row r="12" spans="1:8" x14ac:dyDescent="0.3">
      <c r="A12" s="6" t="s">
        <v>32</v>
      </c>
      <c r="B12" s="24">
        <v>0.70679999999999998</v>
      </c>
      <c r="C12" s="24">
        <v>0.8407</v>
      </c>
      <c r="D12" s="24">
        <v>1.6831</v>
      </c>
      <c r="E12" s="24">
        <v>1.1571</v>
      </c>
      <c r="F12" s="1">
        <v>10000000000</v>
      </c>
    </row>
    <row r="13" spans="1:8" x14ac:dyDescent="0.3">
      <c r="A13" s="6" t="s">
        <v>33</v>
      </c>
      <c r="B13" s="24">
        <v>0.67269999999999996</v>
      </c>
      <c r="C13" s="24">
        <v>0.82020000000000004</v>
      </c>
      <c r="D13" s="24">
        <v>1.8123</v>
      </c>
      <c r="E13" s="24">
        <v>1.1571</v>
      </c>
      <c r="F13" s="1">
        <v>10000000000</v>
      </c>
    </row>
    <row r="14" spans="1:8" x14ac:dyDescent="0.3">
      <c r="A14" s="6" t="s">
        <v>35</v>
      </c>
      <c r="B14" s="24">
        <v>0.81189999999999996</v>
      </c>
      <c r="C14" s="24">
        <v>0.90100000000000002</v>
      </c>
      <c r="D14" s="24">
        <v>1.367</v>
      </c>
      <c r="E14" s="24">
        <v>1.2838000000000001</v>
      </c>
      <c r="F14" s="24">
        <v>3.1030000000000002</v>
      </c>
      <c r="H14" s="23"/>
    </row>
    <row r="15" spans="1:8" x14ac:dyDescent="0.3">
      <c r="A15" s="6" t="s">
        <v>36</v>
      </c>
      <c r="B15" s="24">
        <v>0.75980000000000003</v>
      </c>
      <c r="C15" s="24">
        <v>0.87170000000000003</v>
      </c>
      <c r="D15" s="24">
        <v>1.51</v>
      </c>
      <c r="E15" s="24">
        <v>1.2838000000000001</v>
      </c>
      <c r="F15" s="24">
        <v>3.1030000000000002</v>
      </c>
      <c r="H15" s="23"/>
    </row>
    <row r="16" spans="1:8" x14ac:dyDescent="0.3"/>
    <row r="17" spans="1:15" ht="14.4" customHeight="1" x14ac:dyDescent="0.3">
      <c r="A17" s="6" t="s">
        <v>27</v>
      </c>
      <c r="B17" s="6" t="s">
        <v>14</v>
      </c>
      <c r="C17" s="6" t="s">
        <v>15</v>
      </c>
      <c r="D17" s="6" t="s">
        <v>16</v>
      </c>
      <c r="E17" s="6" t="s">
        <v>17</v>
      </c>
      <c r="F17" s="6" t="s">
        <v>18</v>
      </c>
      <c r="G17" s="6" t="s">
        <v>11</v>
      </c>
      <c r="I17" s="6" t="s">
        <v>2</v>
      </c>
      <c r="J17" s="6" t="s">
        <v>3</v>
      </c>
      <c r="K17" s="6" t="s">
        <v>4</v>
      </c>
      <c r="L17" s="6" t="s">
        <v>5</v>
      </c>
      <c r="M17" s="6" t="s">
        <v>6</v>
      </c>
      <c r="N17" s="6" t="s">
        <v>7</v>
      </c>
      <c r="O17" s="6" t="s">
        <v>19</v>
      </c>
    </row>
    <row r="18" spans="1:15" s="25" customFormat="1" x14ac:dyDescent="0.3">
      <c r="A18" s="20" t="str">
        <f t="shared" ref="A18:C22" si="0">A11</f>
        <v>Wheat</v>
      </c>
      <c r="B18" s="9">
        <f t="shared" si="0"/>
        <v>0.88470000000000004</v>
      </c>
      <c r="C18" s="9">
        <f t="shared" si="0"/>
        <v>0.94059999999999999</v>
      </c>
      <c r="D18" s="9">
        <f>1/D11</f>
        <v>0.83208520552504572</v>
      </c>
      <c r="E18" s="9">
        <f>-0.5+0.5*E11</f>
        <v>0.5787500000000001</v>
      </c>
      <c r="F18" s="9">
        <f>1/F11</f>
        <v>1E-10</v>
      </c>
      <c r="G18" s="9">
        <v>1.4618</v>
      </c>
      <c r="H18"/>
      <c r="I18" s="9">
        <f>B18*$B$1+C18*$C$1+D18*$D$1+E18*$E$1+F18*$F$1+$B$4</f>
        <v>2.0387117437852482</v>
      </c>
      <c r="J18" s="9">
        <f>$B$2*B18+$C$2*C18+$D$2*D18+$E$2*E18+$F$2*F18+$B$5</f>
        <v>6.400023276457607</v>
      </c>
      <c r="K18" s="9">
        <f>$B$3*B18+$C$3*C18+$D$3*D18+$E$3*E18+$F$3*F18+$B$6</f>
        <v>-1.158062215741742</v>
      </c>
      <c r="L18" s="9">
        <f t="shared" ref="L18:L22" si="1">1/(1+EXP(-I18))</f>
        <v>0.88480202442403755</v>
      </c>
      <c r="M18" s="9">
        <f t="shared" ref="M18:N22" si="2">1/(1+EXP(-J18))</f>
        <v>0.99834123746634351</v>
      </c>
      <c r="N18" s="9">
        <f t="shared" si="2"/>
        <v>0.23901956894537951</v>
      </c>
      <c r="O18" s="9">
        <f t="shared" ref="O18:O22" si="3">$B$7*L18+$C$7*M18+$D$7*N18+$B$8</f>
        <v>1.4641096909351483</v>
      </c>
    </row>
    <row r="19" spans="1:15" s="25" customFormat="1" x14ac:dyDescent="0.3">
      <c r="A19" s="20" t="str">
        <f t="shared" si="0"/>
        <v>Bayo beans 1</v>
      </c>
      <c r="B19" s="9">
        <f t="shared" si="0"/>
        <v>0.70679999999999998</v>
      </c>
      <c r="C19" s="9">
        <f t="shared" si="0"/>
        <v>0.8407</v>
      </c>
      <c r="D19" s="9">
        <f>1/D12</f>
        <v>0.5941417622244668</v>
      </c>
      <c r="E19" s="9">
        <f>-0.5+0.5*E12</f>
        <v>7.8550000000000009E-2</v>
      </c>
      <c r="F19" s="9">
        <f>1/F12</f>
        <v>1E-10</v>
      </c>
      <c r="G19" s="9">
        <v>0.66069999999999995</v>
      </c>
      <c r="H19"/>
      <c r="I19" s="9">
        <f>B19*$B$1+C19*$C$1+D19*$D$1+E19*$E$1+F19*$F$1+$B$4</f>
        <v>0.39779683043559189</v>
      </c>
      <c r="J19" s="9">
        <f>$B$2*B19+$C$2*C19+$D$2*D19+$E$2*E19+$F$2*F19+$B$5</f>
        <v>4.9858588314265067</v>
      </c>
      <c r="K19" s="9">
        <f>$B$3*B19+$C$3*C19+$D$3*D19+$E$3*E19+$F$3*F19+$B$6</f>
        <v>-2.8567358084967971</v>
      </c>
      <c r="L19" s="9">
        <f t="shared" si="1"/>
        <v>0.59815821004804892</v>
      </c>
      <c r="M19" s="9">
        <f t="shared" si="2"/>
        <v>0.9932124789501886</v>
      </c>
      <c r="N19" s="9">
        <f t="shared" si="2"/>
        <v>5.4334177302048939E-2</v>
      </c>
      <c r="O19" s="9">
        <f t="shared" si="3"/>
        <v>0.65950805127290302</v>
      </c>
    </row>
    <row r="20" spans="1:15" s="25" customFormat="1" x14ac:dyDescent="0.3">
      <c r="A20" s="20" t="str">
        <f t="shared" si="0"/>
        <v>Bayo beans 2</v>
      </c>
      <c r="B20" s="9">
        <f t="shared" si="0"/>
        <v>0.67269999999999996</v>
      </c>
      <c r="C20" s="9">
        <f t="shared" si="0"/>
        <v>0.82020000000000004</v>
      </c>
      <c r="D20" s="9">
        <f>1/D13</f>
        <v>0.55178502455443357</v>
      </c>
      <c r="E20" s="9">
        <f>-0.5+0.5*E13</f>
        <v>7.8550000000000009E-2</v>
      </c>
      <c r="F20" s="9">
        <f>1/F13</f>
        <v>1E-10</v>
      </c>
      <c r="G20" s="9">
        <v>0.70550000000000002</v>
      </c>
      <c r="H20"/>
      <c r="I20" s="9">
        <f>B20*$B$1+C20*$C$1+D20*$D$1+E20*$E$1+F20*$F$1+$B$4</f>
        <v>0.39713352801408053</v>
      </c>
      <c r="J20" s="9">
        <f>$B$2*B20+$C$2*C20+$D$2*D20+$E$2*E20+$F$2*F20+$B$5</f>
        <v>4.7207557482088411</v>
      </c>
      <c r="K20" s="9">
        <f>$B$3*B20+$C$3*C20+$D$3*D20+$E$3*E20+$F$3*F20+$B$6</f>
        <v>-2.8700856886820025</v>
      </c>
      <c r="L20" s="9">
        <f t="shared" si="1"/>
        <v>0.59799876500879323</v>
      </c>
      <c r="M20" s="9">
        <f t="shared" si="2"/>
        <v>0.99117021616652101</v>
      </c>
      <c r="N20" s="9">
        <f t="shared" si="2"/>
        <v>5.3652301106616798E-2</v>
      </c>
      <c r="O20" s="9">
        <f t="shared" si="3"/>
        <v>0.66238064864602708</v>
      </c>
    </row>
    <row r="21" spans="1:15" s="25" customFormat="1" x14ac:dyDescent="0.3">
      <c r="A21" s="20" t="str">
        <f t="shared" si="0"/>
        <v>Coffee beans 1</v>
      </c>
      <c r="B21" s="9">
        <f t="shared" si="0"/>
        <v>0.81189999999999996</v>
      </c>
      <c r="C21" s="9">
        <f t="shared" si="0"/>
        <v>0.90100000000000002</v>
      </c>
      <c r="D21" s="9">
        <f>1/D14</f>
        <v>0.73152889539136801</v>
      </c>
      <c r="E21" s="9">
        <f>-0.5+0.5*E14</f>
        <v>0.14190000000000003</v>
      </c>
      <c r="F21" s="9">
        <f>1/F14</f>
        <v>0.32226877215597804</v>
      </c>
      <c r="G21" s="9">
        <v>0.78400000000000003</v>
      </c>
      <c r="H21"/>
      <c r="I21" s="9">
        <f>B21*$B$1+C21*$C$1+D21*$D$1+E21*$E$1+F21*$F$1+$B$4</f>
        <v>0.63502210881362586</v>
      </c>
      <c r="J21" s="9">
        <f>$B$2*B21+$C$2*C21+$D$2*D21+$E$2*E21+$F$2*F21+$B$5</f>
        <v>5.6304650323864989</v>
      </c>
      <c r="K21" s="9">
        <f>$B$3*B21+$C$3*C21+$D$3*D21+$E$3*E21+$F$3*F21+$B$6</f>
        <v>-2.6098770164195404</v>
      </c>
      <c r="L21" s="9">
        <f t="shared" si="1"/>
        <v>0.65362733632187564</v>
      </c>
      <c r="M21" s="9">
        <f t="shared" si="2"/>
        <v>0.99642591300579497</v>
      </c>
      <c r="N21" s="9">
        <f t="shared" si="2"/>
        <v>6.8505451191990391E-2</v>
      </c>
      <c r="O21" s="9">
        <f t="shared" si="3"/>
        <v>0.78558510371033219</v>
      </c>
    </row>
    <row r="22" spans="1:15" s="25" customFormat="1" x14ac:dyDescent="0.3">
      <c r="A22" s="20" t="str">
        <f t="shared" si="0"/>
        <v>Coffee beans 2</v>
      </c>
      <c r="B22" s="9">
        <f t="shared" si="0"/>
        <v>0.75980000000000003</v>
      </c>
      <c r="C22" s="9">
        <f t="shared" si="0"/>
        <v>0.87170000000000003</v>
      </c>
      <c r="D22" s="9">
        <f>1/D15</f>
        <v>0.66225165562913912</v>
      </c>
      <c r="E22" s="9">
        <f>-0.5+0.5*E15</f>
        <v>0.14190000000000003</v>
      </c>
      <c r="F22" s="9">
        <f>1/F15</f>
        <v>0.32226877215597804</v>
      </c>
      <c r="G22" s="9">
        <v>0.88239999999999996</v>
      </c>
      <c r="H22"/>
      <c r="I22" s="9">
        <f>B22*$B$1+C22*$C$1+D22*$D$1+E22*$E$1+F22*$F$1+$B$4</f>
        <v>0.63580783335913404</v>
      </c>
      <c r="J22" s="9">
        <f>$B$2*B22+$C$2*C22+$D$2*D22+$E$2*E22+$F$2*F22+$B$5</f>
        <v>5.1917022529639656</v>
      </c>
      <c r="K22" s="9">
        <f>$B$3*B22+$C$3*C22+$D$3*D22+$E$3*E22+$F$3*F22+$B$6</f>
        <v>-2.6175353385557942</v>
      </c>
      <c r="L22" s="9">
        <f t="shared" si="1"/>
        <v>0.65380520181252411</v>
      </c>
      <c r="M22" s="9">
        <f t="shared" si="2"/>
        <v>0.99446824065870554</v>
      </c>
      <c r="N22" s="9">
        <f t="shared" si="2"/>
        <v>6.8018366823010781E-2</v>
      </c>
      <c r="O22" s="9">
        <f t="shared" si="3"/>
        <v>0.7892240934766579</v>
      </c>
    </row>
    <row r="23" spans="1:15" hidden="1" x14ac:dyDescent="0.3">
      <c r="A23" s="19"/>
      <c r="B23" s="19"/>
      <c r="C23" s="19"/>
      <c r="D23" s="19"/>
      <c r="E23" s="19"/>
      <c r="F23" s="19"/>
      <c r="G23" s="19"/>
      <c r="H23" s="2"/>
      <c r="I23" s="19"/>
      <c r="J23" s="19"/>
      <c r="K23" s="19"/>
      <c r="L23" s="19"/>
      <c r="M23" s="19"/>
      <c r="N23" s="19"/>
      <c r="O23" s="19"/>
    </row>
    <row r="24" spans="1:15" hidden="1" x14ac:dyDescent="0.3">
      <c r="A24" s="19"/>
      <c r="B24" s="19"/>
      <c r="C24" s="19"/>
      <c r="D24" s="19"/>
      <c r="E24" s="19"/>
      <c r="F24" s="19"/>
      <c r="G24" s="19"/>
      <c r="H24" s="2"/>
      <c r="I24" s="19"/>
      <c r="J24" s="19"/>
      <c r="K24" s="19"/>
      <c r="L24" s="19"/>
      <c r="M24" s="19"/>
      <c r="N24" s="19"/>
      <c r="O24" s="19"/>
    </row>
    <row r="25" spans="1:15" hidden="1" x14ac:dyDescent="0.3">
      <c r="A25" s="19"/>
      <c r="B25" s="19"/>
      <c r="C25" s="19"/>
      <c r="D25" s="19"/>
      <c r="E25" s="19"/>
      <c r="F25" s="19"/>
      <c r="G25" s="19"/>
      <c r="H25" s="2"/>
      <c r="I25" s="19"/>
      <c r="J25" s="19"/>
      <c r="K25" s="19"/>
      <c r="L25" s="19"/>
      <c r="M25" s="19"/>
      <c r="N25" s="19"/>
      <c r="O25" s="19"/>
    </row>
    <row r="26" spans="1:15" hidden="1" x14ac:dyDescent="0.3">
      <c r="A26" s="19"/>
      <c r="B26" s="19"/>
      <c r="C26" s="19"/>
      <c r="D26" s="19"/>
      <c r="E26" s="19"/>
      <c r="F26" s="19"/>
      <c r="G26" s="19"/>
      <c r="H26" s="2"/>
      <c r="I26" s="19"/>
      <c r="J26" s="19"/>
      <c r="K26" s="19"/>
      <c r="L26" s="19"/>
      <c r="M26" s="19"/>
      <c r="N26" s="19"/>
      <c r="O26" s="19"/>
    </row>
    <row r="27" spans="1:15" hidden="1" x14ac:dyDescent="0.3">
      <c r="A27" s="19"/>
      <c r="B27" s="19"/>
      <c r="C27" s="19"/>
      <c r="D27" s="19"/>
      <c r="E27" s="19"/>
      <c r="F27" s="19"/>
      <c r="G27" s="19"/>
      <c r="H27" s="2"/>
      <c r="I27" s="19"/>
      <c r="J27" s="19"/>
      <c r="K27" s="19"/>
      <c r="L27" s="19"/>
      <c r="M27" s="19"/>
      <c r="N27" s="19"/>
      <c r="O27" s="19"/>
    </row>
    <row r="28" spans="1:15" hidden="1" x14ac:dyDescent="0.3">
      <c r="A28" s="19"/>
      <c r="B28" s="19"/>
      <c r="C28" s="19"/>
      <c r="D28" s="19"/>
      <c r="E28" s="19"/>
      <c r="F28" s="19"/>
      <c r="G28" s="19"/>
      <c r="H28" s="2"/>
      <c r="I28" s="19"/>
      <c r="J28" s="19"/>
      <c r="K28" s="19"/>
      <c r="L28" s="19"/>
      <c r="M28" s="19"/>
      <c r="N28" s="19"/>
      <c r="O28" s="19"/>
    </row>
    <row r="29" spans="1:15" hidden="1" x14ac:dyDescent="0.3">
      <c r="A29" s="19"/>
      <c r="B29" s="19"/>
      <c r="C29" s="19"/>
      <c r="D29" s="19"/>
      <c r="E29" s="19"/>
      <c r="F29" s="19"/>
      <c r="G29" s="19"/>
      <c r="H29" s="2"/>
      <c r="I29" s="19"/>
      <c r="J29" s="19"/>
      <c r="K29" s="19"/>
      <c r="L29" s="19"/>
      <c r="M29" s="19"/>
      <c r="N29" s="19"/>
      <c r="O29" s="19"/>
    </row>
    <row r="30" spans="1:15" hidden="1" x14ac:dyDescent="0.3">
      <c r="A30" s="19"/>
      <c r="B30" s="19"/>
      <c r="C30" s="19"/>
      <c r="D30" s="19"/>
      <c r="E30" s="19"/>
      <c r="F30" s="19"/>
      <c r="G30" s="19"/>
      <c r="H30" s="2"/>
      <c r="I30" s="19"/>
      <c r="J30" s="19"/>
      <c r="K30" s="19"/>
      <c r="L30" s="19"/>
      <c r="M30" s="19"/>
      <c r="N30" s="19"/>
      <c r="O30" s="19"/>
    </row>
    <row r="31" spans="1:15" hidden="1" x14ac:dyDescent="0.3">
      <c r="A31" s="19"/>
      <c r="B31" s="19"/>
      <c r="C31" s="19"/>
      <c r="D31" s="19"/>
      <c r="E31" s="19"/>
      <c r="F31" s="19"/>
      <c r="G31" s="19"/>
      <c r="H31" s="2"/>
      <c r="I31" s="19"/>
      <c r="J31" s="19"/>
      <c r="K31" s="19"/>
      <c r="L31" s="19"/>
      <c r="M31" s="19"/>
      <c r="N31" s="19"/>
      <c r="O31" s="19"/>
    </row>
    <row r="32" spans="1:15" hidden="1" x14ac:dyDescent="0.3">
      <c r="A32" s="19"/>
      <c r="B32" s="19"/>
      <c r="C32" s="19"/>
      <c r="D32" s="19"/>
      <c r="E32" s="19"/>
      <c r="F32" s="19"/>
      <c r="G32" s="19"/>
      <c r="H32" s="2"/>
      <c r="I32" s="19"/>
      <c r="J32" s="19"/>
      <c r="K32" s="19"/>
      <c r="L32" s="19"/>
      <c r="M32" s="19"/>
      <c r="N32" s="19"/>
      <c r="O32" s="19"/>
    </row>
    <row r="33" spans="1:15" hidden="1" x14ac:dyDescent="0.3">
      <c r="A33" s="19"/>
      <c r="B33" s="19"/>
      <c r="C33" s="19"/>
      <c r="D33" s="19"/>
      <c r="E33" s="19"/>
      <c r="F33" s="19"/>
      <c r="G33" s="19"/>
      <c r="H33" s="2"/>
      <c r="I33" s="19"/>
      <c r="J33" s="19"/>
      <c r="K33" s="19"/>
      <c r="L33" s="19"/>
      <c r="M33" s="19"/>
      <c r="N33" s="19"/>
      <c r="O33" s="19"/>
    </row>
    <row r="34" spans="1:15" hidden="1" x14ac:dyDescent="0.3">
      <c r="A34" s="19"/>
      <c r="B34" s="19"/>
      <c r="C34" s="19"/>
      <c r="D34" s="19"/>
      <c r="E34" s="19"/>
      <c r="F34" s="19"/>
      <c r="G34" s="19"/>
      <c r="H34" s="2"/>
      <c r="I34" s="19"/>
      <c r="J34" s="19"/>
      <c r="K34" s="19"/>
      <c r="L34" s="19"/>
      <c r="M34" s="19"/>
      <c r="N34" s="19"/>
      <c r="O34" s="19"/>
    </row>
    <row r="35" spans="1:15" hidden="1" x14ac:dyDescent="0.3">
      <c r="A35" s="19"/>
      <c r="B35" s="19"/>
      <c r="C35" s="19"/>
      <c r="D35" s="19"/>
      <c r="E35" s="19"/>
      <c r="F35" s="19"/>
      <c r="G35" s="19"/>
      <c r="H35" s="2"/>
      <c r="I35" s="19"/>
      <c r="J35" s="19"/>
      <c r="K35" s="19"/>
      <c r="L35" s="19"/>
      <c r="M35" s="19"/>
      <c r="N35" s="19"/>
      <c r="O35" s="19"/>
    </row>
    <row r="36" spans="1:15" hidden="1" x14ac:dyDescent="0.3">
      <c r="A36" s="19"/>
      <c r="B36" s="19"/>
      <c r="C36" s="19"/>
      <c r="D36" s="19"/>
      <c r="E36" s="19"/>
      <c r="F36" s="19"/>
      <c r="G36" s="19"/>
      <c r="H36" s="2"/>
      <c r="I36" s="19"/>
      <c r="J36" s="19"/>
      <c r="K36" s="19"/>
      <c r="L36" s="19"/>
      <c r="M36" s="19"/>
      <c r="N36" s="19"/>
      <c r="O36" s="19"/>
    </row>
    <row r="37" spans="1:15" hidden="1" x14ac:dyDescent="0.3">
      <c r="A37" s="19"/>
      <c r="B37" s="19"/>
      <c r="C37" s="19"/>
      <c r="D37" s="19"/>
      <c r="E37" s="19"/>
      <c r="F37" s="19"/>
      <c r="G37" s="19"/>
      <c r="I37" s="19"/>
      <c r="J37" s="19"/>
      <c r="K37" s="19"/>
      <c r="L37" s="19"/>
      <c r="M37" s="19"/>
      <c r="N37" s="19"/>
      <c r="O37" s="19"/>
    </row>
    <row r="38" spans="1:15" hidden="1" x14ac:dyDescent="0.3">
      <c r="A38" s="19"/>
      <c r="B38" s="19"/>
      <c r="C38" s="19"/>
      <c r="D38" s="19"/>
      <c r="E38" s="19"/>
      <c r="F38" s="19"/>
      <c r="G38" s="19"/>
      <c r="I38" s="19"/>
      <c r="J38" s="19"/>
      <c r="K38" s="19"/>
      <c r="L38" s="19"/>
      <c r="M38" s="19"/>
      <c r="N38" s="19"/>
      <c r="O38" s="19"/>
    </row>
    <row r="39" spans="1:15" hidden="1" x14ac:dyDescent="0.3">
      <c r="A39" s="19"/>
      <c r="B39" s="19"/>
      <c r="C39" s="19"/>
      <c r="D39" s="19"/>
      <c r="E39" s="19"/>
      <c r="F39" s="19"/>
      <c r="G39" s="19"/>
      <c r="I39" s="19"/>
      <c r="J39" s="19"/>
      <c r="K39" s="19"/>
      <c r="L39" s="19"/>
      <c r="M39" s="19"/>
      <c r="N39" s="19"/>
      <c r="O39" s="19"/>
    </row>
    <row r="40" spans="1:15" hidden="1" x14ac:dyDescent="0.3">
      <c r="A40" s="19"/>
      <c r="B40" s="19"/>
      <c r="C40" s="19"/>
      <c r="D40" s="19"/>
      <c r="E40" s="19"/>
      <c r="F40" s="19"/>
      <c r="G40" s="19"/>
      <c r="I40" s="19"/>
      <c r="J40" s="19"/>
      <c r="K40" s="19"/>
      <c r="L40" s="19"/>
      <c r="M40" s="19"/>
      <c r="N40" s="19"/>
      <c r="O40" s="19"/>
    </row>
    <row r="41" spans="1:15" hidden="1" x14ac:dyDescent="0.3">
      <c r="A41" s="19"/>
      <c r="B41" s="19"/>
      <c r="C41" s="19"/>
      <c r="D41" s="19"/>
      <c r="E41" s="19"/>
      <c r="F41" s="19"/>
      <c r="G41" s="19"/>
      <c r="I41" s="19"/>
      <c r="J41" s="19"/>
      <c r="K41" s="19"/>
      <c r="L41" s="19"/>
      <c r="M41" s="19"/>
      <c r="N41" s="19"/>
      <c r="O41" s="19"/>
    </row>
    <row r="42" spans="1:15" hidden="1" x14ac:dyDescent="0.3">
      <c r="A42" s="19"/>
      <c r="B42" s="19"/>
      <c r="C42" s="19"/>
      <c r="D42" s="19"/>
      <c r="E42" s="19"/>
      <c r="F42" s="19"/>
      <c r="G42" s="19"/>
      <c r="I42" s="19"/>
      <c r="J42" s="19"/>
      <c r="K42" s="19"/>
      <c r="L42" s="19"/>
      <c r="M42" s="19"/>
      <c r="N42" s="19"/>
      <c r="O42" s="19"/>
    </row>
    <row r="43" spans="1:15" hidden="1" x14ac:dyDescent="0.3">
      <c r="A43" s="19"/>
      <c r="B43" s="19"/>
      <c r="C43" s="19"/>
      <c r="D43" s="19"/>
      <c r="E43" s="19"/>
      <c r="F43" s="19"/>
      <c r="G43" s="19"/>
      <c r="I43" s="19"/>
      <c r="J43" s="19"/>
      <c r="K43" s="19"/>
      <c r="L43" s="19"/>
      <c r="M43" s="19"/>
      <c r="N43" s="19"/>
      <c r="O43" s="19"/>
    </row>
    <row r="44" spans="1:15" hidden="1" x14ac:dyDescent="0.3">
      <c r="A44" s="19"/>
      <c r="B44" s="19"/>
      <c r="C44" s="19"/>
      <c r="D44" s="19"/>
      <c r="E44" s="19"/>
      <c r="F44" s="19"/>
      <c r="G44" s="19"/>
      <c r="I44" s="19"/>
      <c r="J44" s="19"/>
      <c r="K44" s="19"/>
      <c r="L44" s="19"/>
      <c r="M44" s="19"/>
      <c r="N44" s="19"/>
      <c r="O44" s="19"/>
    </row>
    <row r="45" spans="1:15" hidden="1" x14ac:dyDescent="0.3">
      <c r="A45" s="19"/>
      <c r="B45" s="19"/>
      <c r="C45" s="19"/>
      <c r="D45" s="19"/>
      <c r="E45" s="19"/>
      <c r="F45" s="19"/>
      <c r="G45" s="19"/>
      <c r="I45" s="19"/>
      <c r="J45" s="19"/>
      <c r="K45" s="19"/>
      <c r="L45" s="19"/>
      <c r="M45" s="19"/>
      <c r="N45" s="19"/>
      <c r="O45" s="19"/>
    </row>
    <row r="46" spans="1:15" hidden="1" x14ac:dyDescent="0.3">
      <c r="A46" s="19"/>
      <c r="B46" s="19"/>
      <c r="C46" s="19"/>
      <c r="D46" s="19"/>
      <c r="E46" s="19"/>
      <c r="F46" s="19"/>
      <c r="G46" s="19"/>
      <c r="I46" s="19"/>
      <c r="J46" s="19"/>
      <c r="K46" s="19"/>
      <c r="L46" s="19"/>
      <c r="M46" s="19"/>
      <c r="N46" s="19"/>
      <c r="O46" s="19"/>
    </row>
    <row r="47" spans="1:15" hidden="1" x14ac:dyDescent="0.3">
      <c r="A47" s="19"/>
      <c r="B47" s="19"/>
      <c r="C47" s="19"/>
      <c r="D47" s="19"/>
      <c r="E47" s="19"/>
      <c r="F47" s="19"/>
      <c r="G47" s="19"/>
      <c r="I47" s="19"/>
      <c r="J47" s="19"/>
      <c r="K47" s="19"/>
      <c r="L47" s="19"/>
      <c r="M47" s="19"/>
      <c r="N47" s="19"/>
      <c r="O47" s="19"/>
    </row>
    <row r="48" spans="1:15" hidden="1" x14ac:dyDescent="0.3">
      <c r="A48" s="19"/>
      <c r="B48" s="19"/>
      <c r="C48" s="19"/>
      <c r="D48" s="19"/>
      <c r="E48" s="19"/>
      <c r="F48" s="19"/>
      <c r="G48" s="19"/>
      <c r="I48" s="19"/>
      <c r="J48" s="19"/>
      <c r="K48" s="19"/>
      <c r="L48" s="19"/>
      <c r="M48" s="19"/>
      <c r="N48" s="19"/>
      <c r="O48" s="19"/>
    </row>
    <row r="49" spans="1:15" hidden="1" x14ac:dyDescent="0.3">
      <c r="A49" s="19"/>
      <c r="B49" s="19"/>
      <c r="C49" s="19"/>
      <c r="D49" s="19"/>
      <c r="E49" s="19"/>
      <c r="F49" s="19"/>
      <c r="G49" s="19"/>
      <c r="I49" s="19"/>
      <c r="J49" s="19"/>
      <c r="K49" s="19"/>
      <c r="L49" s="19"/>
      <c r="M49" s="19"/>
      <c r="N49" s="19"/>
      <c r="O49" s="19"/>
    </row>
    <row r="50" spans="1:15" hidden="1" x14ac:dyDescent="0.3">
      <c r="A50" s="19"/>
      <c r="B50" s="19"/>
      <c r="C50" s="19"/>
      <c r="D50" s="19"/>
      <c r="E50" s="19"/>
      <c r="F50" s="19"/>
      <c r="G50" s="19"/>
      <c r="I50" s="19"/>
      <c r="J50" s="19"/>
      <c r="K50" s="19"/>
      <c r="L50" s="19"/>
      <c r="M50" s="19"/>
      <c r="N50" s="19"/>
      <c r="O50" s="19"/>
    </row>
    <row r="51" spans="1:15" hidden="1" x14ac:dyDescent="0.3">
      <c r="A51" s="19"/>
      <c r="B51" s="19"/>
      <c r="C51" s="19"/>
      <c r="D51" s="19"/>
      <c r="E51" s="19"/>
      <c r="F51" s="19"/>
      <c r="G51" s="19"/>
      <c r="I51" s="19"/>
      <c r="J51" s="19"/>
      <c r="K51" s="19"/>
      <c r="L51" s="19"/>
      <c r="M51" s="19"/>
      <c r="N51" s="19"/>
      <c r="O51" s="19"/>
    </row>
    <row r="52" spans="1:15" hidden="1" x14ac:dyDescent="0.3">
      <c r="A52" s="19"/>
      <c r="B52" s="19"/>
      <c r="C52" s="19"/>
      <c r="D52" s="19"/>
      <c r="E52" s="19"/>
      <c r="F52" s="19"/>
      <c r="G52" s="19"/>
      <c r="I52" s="19"/>
      <c r="J52" s="19"/>
      <c r="K52" s="19"/>
      <c r="L52" s="19"/>
      <c r="M52" s="19"/>
      <c r="N52" s="19"/>
      <c r="O52" s="19"/>
    </row>
    <row r="53" spans="1:15" hidden="1" x14ac:dyDescent="0.3">
      <c r="A53" s="19"/>
      <c r="B53" s="19"/>
      <c r="C53" s="19"/>
      <c r="D53" s="19"/>
      <c r="E53" s="19"/>
      <c r="F53" s="19"/>
      <c r="G53" s="19"/>
      <c r="I53" s="19"/>
      <c r="J53" s="19"/>
      <c r="K53" s="19"/>
      <c r="L53" s="19"/>
      <c r="M53" s="19"/>
      <c r="N53" s="19"/>
      <c r="O53" s="19"/>
    </row>
    <row r="54" spans="1:15" hidden="1" x14ac:dyDescent="0.3">
      <c r="A54" s="19"/>
      <c r="B54" s="19"/>
      <c r="C54" s="19"/>
      <c r="D54" s="19"/>
      <c r="E54" s="19"/>
      <c r="F54" s="19"/>
      <c r="G54" s="19"/>
      <c r="I54" s="19"/>
      <c r="J54" s="19"/>
      <c r="K54" s="19"/>
      <c r="L54" s="19"/>
      <c r="M54" s="19"/>
      <c r="N54" s="19"/>
      <c r="O54" s="19"/>
    </row>
    <row r="55" spans="1:15" hidden="1" x14ac:dyDescent="0.3">
      <c r="A55" s="19"/>
      <c r="B55" s="19"/>
      <c r="C55" s="19"/>
      <c r="D55" s="19"/>
      <c r="E55" s="19"/>
      <c r="F55" s="19"/>
      <c r="G55" s="19"/>
      <c r="I55" s="19"/>
      <c r="J55" s="19"/>
      <c r="K55" s="19"/>
      <c r="L55" s="19"/>
      <c r="M55" s="19"/>
      <c r="N55" s="19"/>
      <c r="O55" s="19"/>
    </row>
    <row r="56" spans="1:15" hidden="1" x14ac:dyDescent="0.3">
      <c r="A56" s="19"/>
      <c r="B56" s="19"/>
      <c r="C56" s="19"/>
      <c r="D56" s="19"/>
      <c r="E56" s="19"/>
      <c r="F56" s="19"/>
      <c r="G56" s="19"/>
      <c r="I56" s="19"/>
      <c r="J56" s="19"/>
      <c r="K56" s="19"/>
      <c r="L56" s="19"/>
      <c r="M56" s="19"/>
      <c r="N56" s="19"/>
      <c r="O56" s="19"/>
    </row>
    <row r="57" spans="1:15" hidden="1" x14ac:dyDescent="0.3">
      <c r="A57" s="19"/>
      <c r="B57" s="19"/>
      <c r="C57" s="19"/>
      <c r="D57" s="19"/>
      <c r="E57" s="19"/>
      <c r="F57" s="19"/>
      <c r="G57" s="19"/>
      <c r="I57" s="19"/>
      <c r="J57" s="19"/>
      <c r="K57" s="19"/>
      <c r="L57" s="19"/>
      <c r="M57" s="19"/>
      <c r="N57" s="19"/>
      <c r="O57" s="19"/>
    </row>
    <row r="58" spans="1:15" hidden="1" x14ac:dyDescent="0.3">
      <c r="A58" s="19"/>
      <c r="B58" s="19"/>
      <c r="C58" s="19"/>
      <c r="D58" s="19"/>
      <c r="E58" s="19"/>
      <c r="F58" s="19"/>
      <c r="G58" s="19"/>
      <c r="I58" s="19"/>
      <c r="J58" s="19"/>
      <c r="K58" s="19"/>
      <c r="L58" s="19"/>
      <c r="M58" s="19"/>
      <c r="N58" s="19"/>
      <c r="O58" s="19"/>
    </row>
    <row r="59" spans="1:15" hidden="1" x14ac:dyDescent="0.3">
      <c r="A59" s="19"/>
      <c r="B59" s="19"/>
      <c r="C59" s="19"/>
      <c r="D59" s="19"/>
      <c r="E59" s="19"/>
      <c r="F59" s="19"/>
      <c r="G59" s="19"/>
      <c r="I59" s="19"/>
      <c r="J59" s="19"/>
      <c r="K59" s="19"/>
      <c r="L59" s="19"/>
      <c r="M59" s="19"/>
      <c r="N59" s="19"/>
      <c r="O59" s="19"/>
    </row>
    <row r="60" spans="1:15" hidden="1" x14ac:dyDescent="0.3">
      <c r="A60" s="19"/>
      <c r="B60" s="19"/>
      <c r="C60" s="19"/>
      <c r="D60" s="19"/>
      <c r="E60" s="19"/>
      <c r="F60" s="19"/>
      <c r="G60" s="19"/>
      <c r="I60" s="19"/>
      <c r="J60" s="19"/>
      <c r="K60" s="19"/>
      <c r="L60" s="19"/>
      <c r="M60" s="19"/>
      <c r="N60" s="19"/>
      <c r="O60" s="19"/>
    </row>
    <row r="61" spans="1:15" hidden="1" x14ac:dyDescent="0.3">
      <c r="A61" s="19"/>
      <c r="B61" s="19"/>
      <c r="C61" s="19"/>
      <c r="D61" s="19"/>
      <c r="E61" s="19"/>
      <c r="F61" s="19"/>
      <c r="G61" s="19"/>
      <c r="I61" s="19"/>
      <c r="J61" s="19"/>
      <c r="K61" s="19"/>
      <c r="L61" s="19"/>
      <c r="M61" s="19"/>
      <c r="N61" s="19"/>
      <c r="O61" s="19"/>
    </row>
    <row r="62" spans="1:15" hidden="1" x14ac:dyDescent="0.3">
      <c r="A62" s="19"/>
      <c r="B62" s="19"/>
      <c r="C62" s="19"/>
      <c r="D62" s="19"/>
      <c r="E62" s="19"/>
      <c r="F62" s="19"/>
      <c r="G62" s="19"/>
      <c r="I62" s="19"/>
      <c r="J62" s="19"/>
      <c r="K62" s="19"/>
      <c r="L62" s="19"/>
      <c r="M62" s="19"/>
      <c r="N62" s="19"/>
      <c r="O62" s="19"/>
    </row>
    <row r="63" spans="1:15" hidden="1" x14ac:dyDescent="0.3">
      <c r="A63" s="19"/>
      <c r="B63" s="19"/>
      <c r="C63" s="19"/>
      <c r="D63" s="19"/>
      <c r="E63" s="19"/>
      <c r="F63" s="19"/>
      <c r="G63" s="19"/>
      <c r="I63" s="19"/>
      <c r="J63" s="19"/>
      <c r="K63" s="19"/>
      <c r="L63" s="19"/>
      <c r="M63" s="19"/>
      <c r="N63" s="19"/>
      <c r="O63" s="19"/>
    </row>
    <row r="64" spans="1:15" hidden="1" x14ac:dyDescent="0.3">
      <c r="A64" s="19"/>
      <c r="B64" s="19"/>
      <c r="C64" s="19"/>
      <c r="D64" s="19"/>
      <c r="E64" s="19"/>
      <c r="F64" s="19"/>
      <c r="G64" s="19"/>
      <c r="I64" s="19"/>
      <c r="J64" s="19"/>
      <c r="K64" s="19"/>
      <c r="L64" s="19"/>
      <c r="M64" s="19"/>
      <c r="N64" s="19"/>
      <c r="O64" s="19"/>
    </row>
    <row r="65" spans="1:15" hidden="1" x14ac:dyDescent="0.3">
      <c r="A65" s="19"/>
      <c r="B65" s="19"/>
      <c r="C65" s="19"/>
      <c r="D65" s="19"/>
      <c r="E65" s="19"/>
      <c r="F65" s="19"/>
      <c r="G65" s="19"/>
      <c r="I65" s="19"/>
      <c r="J65" s="19"/>
      <c r="K65" s="19"/>
      <c r="L65" s="19"/>
      <c r="M65" s="19"/>
      <c r="N65" s="19"/>
      <c r="O65" s="19"/>
    </row>
    <row r="66" spans="1:15" hidden="1" x14ac:dyDescent="0.3">
      <c r="A66" s="19"/>
      <c r="B66" s="19"/>
      <c r="C66" s="19"/>
      <c r="D66" s="19"/>
      <c r="E66" s="19"/>
      <c r="F66" s="19"/>
      <c r="G66" s="19"/>
      <c r="I66" s="19"/>
      <c r="J66" s="19"/>
      <c r="K66" s="19"/>
      <c r="L66" s="19"/>
      <c r="M66" s="19"/>
      <c r="N66" s="19"/>
      <c r="O66" s="19"/>
    </row>
    <row r="67" spans="1:15" hidden="1" x14ac:dyDescent="0.3">
      <c r="A67" s="19"/>
      <c r="B67" s="19"/>
      <c r="C67" s="19"/>
      <c r="D67" s="19"/>
      <c r="E67" s="19"/>
      <c r="F67" s="19"/>
      <c r="G67" s="19"/>
      <c r="I67" s="19"/>
      <c r="J67" s="19"/>
      <c r="K67" s="19"/>
      <c r="L67" s="19"/>
      <c r="M67" s="19"/>
      <c r="N67" s="19"/>
      <c r="O67" s="19"/>
    </row>
    <row r="68" spans="1:15" hidden="1" x14ac:dyDescent="0.3">
      <c r="A68" s="19"/>
      <c r="B68" s="19"/>
      <c r="C68" s="19"/>
      <c r="D68" s="19"/>
      <c r="E68" s="19"/>
      <c r="F68" s="19"/>
      <c r="G68" s="19"/>
      <c r="I68" s="19"/>
      <c r="J68" s="19"/>
      <c r="K68" s="19"/>
      <c r="L68" s="19"/>
      <c r="M68" s="19"/>
      <c r="N68" s="19"/>
      <c r="O68" s="19"/>
    </row>
    <row r="69" spans="1:15" hidden="1" x14ac:dyDescent="0.3">
      <c r="A69" s="19"/>
      <c r="B69" s="19"/>
      <c r="C69" s="19"/>
      <c r="D69" s="19"/>
      <c r="E69" s="19"/>
      <c r="F69" s="19"/>
      <c r="G69" s="19"/>
      <c r="I69" s="19"/>
      <c r="J69" s="19"/>
      <c r="K69" s="19"/>
      <c r="L69" s="19"/>
      <c r="M69" s="19"/>
      <c r="N69" s="19"/>
      <c r="O69" s="19"/>
    </row>
    <row r="70" spans="1:15" hidden="1" x14ac:dyDescent="0.3">
      <c r="A70" s="19"/>
      <c r="B70" s="19"/>
      <c r="C70" s="19"/>
      <c r="D70" s="19"/>
      <c r="E70" s="19"/>
      <c r="F70" s="19"/>
      <c r="G70" s="19"/>
      <c r="I70" s="19"/>
      <c r="J70" s="19"/>
      <c r="K70" s="19"/>
      <c r="L70" s="19"/>
      <c r="M70" s="19"/>
      <c r="N70" s="19"/>
      <c r="O70" s="19"/>
    </row>
    <row r="71" spans="1:15" hidden="1" x14ac:dyDescent="0.3">
      <c r="A71" s="19"/>
      <c r="B71" s="19"/>
      <c r="C71" s="19"/>
      <c r="D71" s="19"/>
      <c r="E71" s="19"/>
      <c r="F71" s="19"/>
      <c r="G71" s="19"/>
      <c r="I71" s="19"/>
      <c r="J71" s="19"/>
      <c r="K71" s="19"/>
      <c r="L71" s="19"/>
      <c r="M71" s="19"/>
      <c r="N71" s="19"/>
      <c r="O71" s="19"/>
    </row>
    <row r="72" spans="1:15" hidden="1" x14ac:dyDescent="0.3">
      <c r="A72" s="19"/>
      <c r="B72" s="19"/>
      <c r="C72" s="19"/>
      <c r="D72" s="19"/>
      <c r="E72" s="19"/>
      <c r="F72" s="19"/>
      <c r="G72" s="19"/>
      <c r="I72" s="19"/>
      <c r="J72" s="19"/>
      <c r="K72" s="19"/>
      <c r="L72" s="19"/>
      <c r="M72" s="19"/>
      <c r="N72" s="19"/>
      <c r="O72" s="19"/>
    </row>
    <row r="73" spans="1:15" hidden="1" x14ac:dyDescent="0.3">
      <c r="A73" s="19"/>
      <c r="B73" s="19"/>
      <c r="C73" s="19"/>
      <c r="D73" s="19"/>
      <c r="E73" s="19"/>
      <c r="F73" s="19"/>
      <c r="G73" s="19"/>
      <c r="I73" s="19"/>
      <c r="J73" s="19"/>
      <c r="K73" s="19"/>
      <c r="L73" s="19"/>
      <c r="M73" s="19"/>
      <c r="N73" s="19"/>
      <c r="O73" s="19"/>
    </row>
    <row r="74" spans="1:15" hidden="1" x14ac:dyDescent="0.3">
      <c r="A74" s="19"/>
      <c r="B74" s="19"/>
      <c r="C74" s="19"/>
      <c r="D74" s="19"/>
      <c r="E74" s="19"/>
      <c r="F74" s="19"/>
      <c r="G74" s="19"/>
      <c r="I74" s="19"/>
      <c r="J74" s="19"/>
      <c r="K74" s="19"/>
      <c r="L74" s="19"/>
      <c r="M74" s="19"/>
      <c r="N74" s="19"/>
      <c r="O74" s="19"/>
    </row>
    <row r="75" spans="1:15" hidden="1" x14ac:dyDescent="0.3">
      <c r="A75" s="19"/>
      <c r="B75" s="19"/>
      <c r="C75" s="19"/>
      <c r="D75" s="19"/>
      <c r="E75" s="19"/>
      <c r="F75" s="19"/>
      <c r="G75" s="19"/>
      <c r="I75" s="19"/>
      <c r="J75" s="19"/>
      <c r="K75" s="19"/>
      <c r="L75" s="19"/>
      <c r="M75" s="19"/>
      <c r="N75" s="19"/>
      <c r="O75" s="19"/>
    </row>
    <row r="76" spans="1:15" hidden="1" x14ac:dyDescent="0.3">
      <c r="A76" s="19"/>
      <c r="B76" s="19"/>
      <c r="C76" s="19"/>
      <c r="D76" s="19"/>
      <c r="E76" s="19"/>
      <c r="F76" s="19"/>
      <c r="G76" s="19"/>
      <c r="I76" s="19"/>
      <c r="J76" s="19"/>
      <c r="K76" s="19"/>
      <c r="L76" s="19"/>
      <c r="M76" s="19"/>
      <c r="N76" s="19"/>
      <c r="O76" s="19"/>
    </row>
    <row r="77" spans="1:15" hidden="1" x14ac:dyDescent="0.3">
      <c r="A77" s="19"/>
      <c r="B77" s="19"/>
      <c r="C77" s="19"/>
      <c r="D77" s="19"/>
      <c r="E77" s="19"/>
      <c r="F77" s="19"/>
      <c r="G77" s="19"/>
      <c r="I77" s="19"/>
      <c r="J77" s="19"/>
      <c r="K77" s="19"/>
      <c r="L77" s="19"/>
      <c r="M77" s="19"/>
      <c r="N77" s="19"/>
      <c r="O77" s="19"/>
    </row>
    <row r="78" spans="1:15" hidden="1" x14ac:dyDescent="0.3">
      <c r="A78" s="19"/>
      <c r="B78" s="19"/>
      <c r="C78" s="19"/>
      <c r="D78" s="19"/>
      <c r="E78" s="19"/>
      <c r="F78" s="19"/>
      <c r="G78" s="19"/>
      <c r="I78" s="19"/>
      <c r="J78" s="19"/>
      <c r="K78" s="19"/>
      <c r="L78" s="19"/>
      <c r="M78" s="19"/>
      <c r="N78" s="19"/>
      <c r="O78" s="19"/>
    </row>
    <row r="79" spans="1:15" hidden="1" x14ac:dyDescent="0.3">
      <c r="A79" s="19"/>
      <c r="B79" s="19"/>
      <c r="C79" s="19"/>
      <c r="D79" s="19"/>
      <c r="E79" s="19"/>
      <c r="F79" s="19"/>
      <c r="G79" s="19"/>
      <c r="I79" s="19"/>
      <c r="J79" s="19"/>
      <c r="K79" s="19"/>
      <c r="L79" s="19"/>
      <c r="M79" s="19"/>
      <c r="N79" s="19"/>
      <c r="O79" s="19"/>
    </row>
    <row r="80" spans="1:15" hidden="1" x14ac:dyDescent="0.3">
      <c r="A80" s="19"/>
      <c r="B80" s="19"/>
      <c r="C80" s="19"/>
      <c r="D80" s="19"/>
      <c r="E80" s="19"/>
      <c r="F80" s="19"/>
      <c r="G80" s="19"/>
      <c r="I80" s="19"/>
      <c r="J80" s="19"/>
      <c r="K80" s="19"/>
      <c r="L80" s="19"/>
      <c r="M80" s="19"/>
      <c r="N80" s="19"/>
      <c r="O80" s="19"/>
    </row>
    <row r="81" spans="1:15" hidden="1" x14ac:dyDescent="0.3">
      <c r="A81" s="19"/>
      <c r="B81" s="19"/>
      <c r="C81" s="19"/>
      <c r="D81" s="19"/>
      <c r="E81" s="19"/>
      <c r="F81" s="19"/>
      <c r="G81" s="19"/>
      <c r="I81" s="19"/>
      <c r="J81" s="19"/>
      <c r="K81" s="19"/>
      <c r="L81" s="19"/>
      <c r="M81" s="19"/>
      <c r="N81" s="19"/>
      <c r="O81" s="19"/>
    </row>
    <row r="82" spans="1:15" hidden="1" x14ac:dyDescent="0.3">
      <c r="A82" s="19"/>
      <c r="B82" s="19"/>
      <c r="C82" s="19"/>
      <c r="D82" s="19"/>
      <c r="E82" s="19"/>
      <c r="F82" s="19"/>
      <c r="G82" s="19"/>
      <c r="I82" s="19"/>
      <c r="J82" s="19"/>
      <c r="K82" s="19"/>
      <c r="L82" s="19"/>
      <c r="M82" s="19"/>
      <c r="N82" s="19"/>
      <c r="O82" s="19"/>
    </row>
    <row r="83" spans="1:15" hidden="1" x14ac:dyDescent="0.3">
      <c r="A83" s="19"/>
      <c r="B83" s="19"/>
      <c r="C83" s="19"/>
      <c r="D83" s="19"/>
      <c r="E83" s="19"/>
      <c r="F83" s="19"/>
      <c r="G83" s="19"/>
      <c r="I83" s="19"/>
      <c r="J83" s="19"/>
      <c r="K83" s="19"/>
      <c r="L83" s="19"/>
      <c r="M83" s="19"/>
      <c r="N83" s="19"/>
      <c r="O83" s="19"/>
    </row>
    <row r="84" spans="1:15" hidden="1" x14ac:dyDescent="0.3">
      <c r="A84" s="19"/>
      <c r="B84" s="19"/>
      <c r="C84" s="19"/>
      <c r="D84" s="19"/>
      <c r="E84" s="19"/>
      <c r="F84" s="19"/>
      <c r="G84" s="19"/>
      <c r="I84" s="19"/>
      <c r="J84" s="19"/>
      <c r="K84" s="19"/>
      <c r="L84" s="19"/>
      <c r="M84" s="19"/>
      <c r="N84" s="19"/>
      <c r="O84" s="19"/>
    </row>
    <row r="85" spans="1:15" hidden="1" x14ac:dyDescent="0.3">
      <c r="A85" s="19"/>
      <c r="B85" s="19"/>
      <c r="C85" s="19"/>
      <c r="D85" s="19"/>
      <c r="E85" s="19"/>
      <c r="F85" s="19"/>
      <c r="G85" s="19"/>
      <c r="I85" s="19"/>
      <c r="J85" s="19"/>
      <c r="K85" s="19"/>
      <c r="L85" s="19"/>
      <c r="M85" s="19"/>
      <c r="N85" s="19"/>
      <c r="O85" s="19"/>
    </row>
    <row r="86" spans="1:15" hidden="1" x14ac:dyDescent="0.3">
      <c r="A86" s="19"/>
      <c r="B86" s="19"/>
      <c r="C86" s="19"/>
      <c r="D86" s="19"/>
      <c r="E86" s="19"/>
      <c r="F86" s="19"/>
      <c r="G86" s="19"/>
      <c r="I86" s="19"/>
      <c r="J86" s="19"/>
      <c r="K86" s="19"/>
      <c r="L86" s="19"/>
      <c r="M86" s="19"/>
      <c r="N86" s="19"/>
      <c r="O86" s="19"/>
    </row>
    <row r="87" spans="1:15" hidden="1" x14ac:dyDescent="0.3">
      <c r="A87" s="19"/>
      <c r="B87" s="19"/>
      <c r="C87" s="19"/>
      <c r="D87" s="19"/>
      <c r="E87" s="19"/>
      <c r="F87" s="19"/>
      <c r="G87" s="19"/>
      <c r="I87" s="19"/>
      <c r="J87" s="19"/>
      <c r="K87" s="19"/>
      <c r="L87" s="19"/>
      <c r="M87" s="19"/>
      <c r="N87" s="19"/>
      <c r="O87" s="19"/>
    </row>
    <row r="88" spans="1:15" hidden="1" x14ac:dyDescent="0.3">
      <c r="A88" s="19"/>
      <c r="B88" s="19"/>
      <c r="C88" s="19"/>
      <c r="D88" s="19"/>
      <c r="E88" s="19"/>
      <c r="F88" s="19"/>
      <c r="G88" s="19"/>
      <c r="I88" s="19"/>
      <c r="J88" s="19"/>
      <c r="K88" s="19"/>
      <c r="L88" s="19"/>
      <c r="M88" s="19"/>
      <c r="N88" s="19"/>
      <c r="O88" s="19"/>
    </row>
    <row r="89" spans="1:15" hidden="1" x14ac:dyDescent="0.3">
      <c r="A89" s="19"/>
      <c r="B89" s="19"/>
      <c r="C89" s="19"/>
      <c r="D89" s="19"/>
      <c r="E89" s="19"/>
      <c r="F89" s="19"/>
      <c r="G89" s="19"/>
      <c r="I89" s="19"/>
      <c r="J89" s="19"/>
      <c r="K89" s="19"/>
      <c r="L89" s="19"/>
      <c r="M89" s="19"/>
      <c r="N89" s="19"/>
      <c r="O89" s="19"/>
    </row>
    <row r="90" spans="1:15" hidden="1" x14ac:dyDescent="0.3">
      <c r="A90" s="19"/>
      <c r="B90" s="19"/>
      <c r="C90" s="19"/>
      <c r="D90" s="19"/>
      <c r="E90" s="19"/>
      <c r="F90" s="19"/>
      <c r="G90" s="19"/>
      <c r="I90" s="19"/>
      <c r="J90" s="19"/>
      <c r="K90" s="19"/>
      <c r="L90" s="19"/>
      <c r="M90" s="19"/>
      <c r="N90" s="19"/>
      <c r="O90" s="19"/>
    </row>
    <row r="91" spans="1:15" hidden="1" x14ac:dyDescent="0.3">
      <c r="A91" s="19"/>
      <c r="B91" s="19"/>
      <c r="C91" s="19"/>
      <c r="D91" s="19"/>
      <c r="E91" s="19"/>
      <c r="F91" s="19"/>
      <c r="G91" s="19"/>
      <c r="I91" s="19"/>
      <c r="J91" s="19"/>
      <c r="K91" s="19"/>
      <c r="L91" s="19"/>
      <c r="M91" s="19"/>
      <c r="N91" s="19"/>
      <c r="O91" s="19"/>
    </row>
    <row r="92" spans="1:15" hidden="1" x14ac:dyDescent="0.3">
      <c r="A92" s="19"/>
      <c r="B92" s="19"/>
      <c r="C92" s="19"/>
      <c r="D92" s="19"/>
      <c r="E92" s="19"/>
      <c r="F92" s="19"/>
      <c r="G92" s="19"/>
      <c r="I92" s="19"/>
      <c r="J92" s="19"/>
      <c r="K92" s="19"/>
      <c r="L92" s="19"/>
      <c r="M92" s="19"/>
      <c r="N92" s="19"/>
      <c r="O92" s="19"/>
    </row>
    <row r="93" spans="1:15" hidden="1" x14ac:dyDescent="0.3">
      <c r="A93" s="19"/>
      <c r="B93" s="19"/>
      <c r="C93" s="19"/>
      <c r="D93" s="19"/>
      <c r="E93" s="19"/>
      <c r="F93" s="19"/>
      <c r="G93" s="19"/>
      <c r="I93" s="19"/>
      <c r="J93" s="19"/>
      <c r="K93" s="19"/>
      <c r="L93" s="19"/>
      <c r="M93" s="19"/>
      <c r="N93" s="19"/>
      <c r="O93" s="19"/>
    </row>
    <row r="94" spans="1:15" hidden="1" x14ac:dyDescent="0.3">
      <c r="A94" s="19"/>
      <c r="B94" s="19"/>
      <c r="C94" s="19"/>
      <c r="D94" s="19"/>
      <c r="E94" s="19"/>
      <c r="F94" s="19"/>
      <c r="G94" s="19"/>
      <c r="I94" s="19"/>
      <c r="J94" s="19"/>
      <c r="K94" s="19"/>
      <c r="L94" s="19"/>
      <c r="M94" s="19"/>
      <c r="N94" s="19"/>
      <c r="O94" s="19"/>
    </row>
    <row r="95" spans="1:15" hidden="1" x14ac:dyDescent="0.3">
      <c r="A95" s="19"/>
      <c r="B95" s="19"/>
      <c r="C95" s="19"/>
      <c r="D95" s="19"/>
      <c r="E95" s="19"/>
      <c r="F95" s="19"/>
      <c r="G95" s="19"/>
      <c r="I95" s="19"/>
      <c r="J95" s="19"/>
      <c r="K95" s="19"/>
      <c r="L95" s="19"/>
      <c r="M95" s="19"/>
      <c r="N95" s="19"/>
      <c r="O95" s="19"/>
    </row>
    <row r="96" spans="1:15" hidden="1" x14ac:dyDescent="0.3">
      <c r="A96" s="19"/>
      <c r="B96" s="19"/>
      <c r="C96" s="19"/>
      <c r="D96" s="19"/>
      <c r="E96" s="19"/>
      <c r="F96" s="19"/>
      <c r="G96" s="19"/>
      <c r="I96" s="19"/>
      <c r="J96" s="19"/>
      <c r="K96" s="19"/>
      <c r="L96" s="19"/>
      <c r="M96" s="19"/>
      <c r="N96" s="19"/>
      <c r="O96" s="19"/>
    </row>
    <row r="97" spans="1:15" hidden="1" x14ac:dyDescent="0.3">
      <c r="A97" s="19"/>
      <c r="B97" s="19"/>
      <c r="C97" s="19"/>
      <c r="D97" s="19"/>
      <c r="E97" s="19"/>
      <c r="F97" s="19"/>
      <c r="G97" s="19"/>
      <c r="I97" s="19"/>
      <c r="J97" s="19"/>
      <c r="K97" s="19"/>
      <c r="L97" s="19"/>
      <c r="M97" s="19"/>
      <c r="N97" s="19"/>
      <c r="O97" s="19"/>
    </row>
    <row r="98" spans="1:15" hidden="1" x14ac:dyDescent="0.3">
      <c r="A98" s="19"/>
      <c r="B98" s="19"/>
      <c r="C98" s="19"/>
      <c r="D98" s="19"/>
      <c r="E98" s="19"/>
      <c r="F98" s="19"/>
      <c r="G98" s="19"/>
      <c r="I98" s="19"/>
      <c r="J98" s="19"/>
      <c r="K98" s="19"/>
      <c r="L98" s="19"/>
      <c r="M98" s="19"/>
      <c r="N98" s="19"/>
      <c r="O98" s="19"/>
    </row>
    <row r="99" spans="1:15" hidden="1" x14ac:dyDescent="0.3">
      <c r="A99" s="19"/>
      <c r="B99" s="19"/>
      <c r="C99" s="19"/>
      <c r="D99" s="19"/>
      <c r="E99" s="19"/>
      <c r="F99" s="19"/>
      <c r="G99" s="19"/>
      <c r="I99" s="19"/>
      <c r="J99" s="19"/>
      <c r="K99" s="19"/>
      <c r="L99" s="19"/>
      <c r="M99" s="19"/>
      <c r="N99" s="19"/>
      <c r="O99" s="19"/>
    </row>
    <row r="100" spans="1:15" hidden="1" x14ac:dyDescent="0.3">
      <c r="A100" s="19"/>
      <c r="B100" s="19"/>
      <c r="C100" s="19"/>
      <c r="D100" s="19"/>
      <c r="E100" s="19"/>
      <c r="F100" s="19"/>
      <c r="G100" s="19"/>
      <c r="I100" s="19"/>
      <c r="J100" s="19"/>
      <c r="K100" s="19"/>
      <c r="L100" s="19"/>
      <c r="M100" s="19"/>
      <c r="N100" s="19"/>
      <c r="O100" s="19"/>
    </row>
    <row r="101" spans="1:15" hidden="1" x14ac:dyDescent="0.3">
      <c r="A101" s="19"/>
      <c r="B101" s="19"/>
      <c r="C101" s="19"/>
      <c r="D101" s="19"/>
      <c r="E101" s="19"/>
      <c r="F101" s="19"/>
      <c r="G101" s="19"/>
      <c r="I101" s="19"/>
      <c r="J101" s="19"/>
      <c r="K101" s="19"/>
      <c r="L101" s="19"/>
      <c r="M101" s="19"/>
      <c r="N101" s="19"/>
      <c r="O101" s="19"/>
    </row>
    <row r="102" spans="1:15" hidden="1" x14ac:dyDescent="0.3">
      <c r="A102" s="19"/>
      <c r="B102" s="19"/>
      <c r="C102" s="19"/>
      <c r="D102" s="19"/>
      <c r="E102" s="19"/>
      <c r="F102" s="19"/>
      <c r="G102" s="19"/>
      <c r="I102" s="19"/>
      <c r="J102" s="19"/>
      <c r="K102" s="19"/>
      <c r="L102" s="19"/>
      <c r="M102" s="19"/>
      <c r="N102" s="19"/>
      <c r="O102" s="19"/>
    </row>
    <row r="103" spans="1:15" hidden="1" x14ac:dyDescent="0.3">
      <c r="A103" s="19"/>
      <c r="B103" s="19"/>
      <c r="C103" s="19"/>
      <c r="D103" s="19"/>
      <c r="E103" s="19"/>
      <c r="F103" s="19"/>
      <c r="G103" s="19"/>
      <c r="I103" s="19"/>
      <c r="J103" s="19"/>
      <c r="K103" s="19"/>
      <c r="L103" s="19"/>
      <c r="M103" s="19"/>
      <c r="N103" s="19"/>
      <c r="O103" s="19"/>
    </row>
    <row r="104" spans="1:15" hidden="1" x14ac:dyDescent="0.3">
      <c r="A104" s="19"/>
      <c r="B104" s="19"/>
      <c r="C104" s="19"/>
      <c r="D104" s="19"/>
      <c r="E104" s="19"/>
      <c r="F104" s="19"/>
      <c r="G104" s="19"/>
      <c r="I104" s="19"/>
      <c r="J104" s="19"/>
      <c r="K104" s="19"/>
      <c r="L104" s="19"/>
      <c r="M104" s="19"/>
      <c r="N104" s="19"/>
      <c r="O104" s="19"/>
    </row>
    <row r="105" spans="1:15" hidden="1" x14ac:dyDescent="0.3">
      <c r="A105" s="19"/>
      <c r="B105" s="19"/>
      <c r="C105" s="19"/>
      <c r="D105" s="19"/>
      <c r="E105" s="19"/>
      <c r="F105" s="19"/>
      <c r="G105" s="19"/>
      <c r="I105" s="19"/>
      <c r="J105" s="19"/>
      <c r="K105" s="19"/>
      <c r="L105" s="19"/>
      <c r="M105" s="19"/>
      <c r="N105" s="19"/>
      <c r="O105" s="19"/>
    </row>
    <row r="106" spans="1:15" hidden="1" x14ac:dyDescent="0.3">
      <c r="A106" s="19"/>
      <c r="B106" s="19"/>
      <c r="C106" s="19"/>
      <c r="D106" s="19"/>
      <c r="E106" s="19"/>
      <c r="F106" s="19"/>
      <c r="G106" s="19"/>
      <c r="I106" s="19"/>
      <c r="J106" s="19"/>
      <c r="K106" s="19"/>
      <c r="L106" s="19"/>
      <c r="M106" s="19"/>
      <c r="N106" s="19"/>
      <c r="O106" s="19"/>
    </row>
    <row r="107" spans="1:15" hidden="1" x14ac:dyDescent="0.3">
      <c r="A107" s="19"/>
      <c r="B107" s="19"/>
      <c r="C107" s="19"/>
      <c r="D107" s="19"/>
      <c r="E107" s="19"/>
      <c r="F107" s="19"/>
      <c r="G107" s="19"/>
      <c r="I107" s="19"/>
      <c r="J107" s="19"/>
      <c r="K107" s="19"/>
      <c r="L107" s="19"/>
      <c r="M107" s="19"/>
      <c r="N107" s="19"/>
      <c r="O107" s="19"/>
    </row>
    <row r="108" spans="1:15" hidden="1" x14ac:dyDescent="0.3">
      <c r="A108" s="19"/>
      <c r="B108" s="19"/>
      <c r="C108" s="19"/>
      <c r="D108" s="19"/>
      <c r="E108" s="19"/>
      <c r="F108" s="19"/>
      <c r="G108" s="19"/>
      <c r="I108" s="19"/>
      <c r="J108" s="19"/>
      <c r="K108" s="19"/>
      <c r="L108" s="19"/>
      <c r="M108" s="19"/>
      <c r="N108" s="19"/>
      <c r="O108" s="19"/>
    </row>
    <row r="109" spans="1:15" hidden="1" x14ac:dyDescent="0.3">
      <c r="A109" s="19"/>
      <c r="B109" s="19"/>
      <c r="C109" s="19"/>
      <c r="D109" s="19"/>
      <c r="E109" s="19"/>
      <c r="F109" s="19"/>
      <c r="G109" s="19"/>
      <c r="I109" s="19"/>
      <c r="J109" s="19"/>
      <c r="K109" s="19"/>
      <c r="L109" s="19"/>
      <c r="M109" s="19"/>
      <c r="N109" s="19"/>
      <c r="O109" s="19"/>
    </row>
    <row r="110" spans="1:15" hidden="1" x14ac:dyDescent="0.3">
      <c r="A110" s="19"/>
      <c r="B110" s="19"/>
      <c r="C110" s="19"/>
      <c r="D110" s="19"/>
      <c r="E110" s="19"/>
      <c r="F110" s="19"/>
      <c r="G110" s="19"/>
      <c r="I110" s="19"/>
      <c r="J110" s="19"/>
      <c r="K110" s="19"/>
      <c r="L110" s="19"/>
      <c r="M110" s="19"/>
      <c r="N110" s="19"/>
      <c r="O110" s="19"/>
    </row>
    <row r="111" spans="1:15" hidden="1" x14ac:dyDescent="0.3">
      <c r="A111" s="19"/>
      <c r="B111" s="19"/>
      <c r="C111" s="19"/>
      <c r="D111" s="19"/>
      <c r="E111" s="19"/>
      <c r="F111" s="19"/>
      <c r="G111" s="19"/>
      <c r="I111" s="19"/>
      <c r="J111" s="19"/>
      <c r="K111" s="19"/>
      <c r="L111" s="19"/>
      <c r="M111" s="19"/>
      <c r="N111" s="19"/>
      <c r="O111" s="19"/>
    </row>
    <row r="112" spans="1:15" hidden="1" x14ac:dyDescent="0.3">
      <c r="A112" s="19"/>
      <c r="B112" s="19"/>
      <c r="C112" s="19"/>
      <c r="D112" s="19"/>
      <c r="E112" s="19"/>
      <c r="F112" s="19"/>
      <c r="G112" s="19"/>
      <c r="I112" s="19"/>
      <c r="J112" s="19"/>
      <c r="K112" s="19"/>
      <c r="L112" s="19"/>
      <c r="M112" s="19"/>
      <c r="N112" s="19"/>
      <c r="O112" s="19"/>
    </row>
    <row r="113" spans="1:15" hidden="1" x14ac:dyDescent="0.3">
      <c r="A113" s="19"/>
      <c r="B113" s="19"/>
      <c r="C113" s="19"/>
      <c r="D113" s="19"/>
      <c r="E113" s="19"/>
      <c r="F113" s="19"/>
      <c r="G113" s="19"/>
      <c r="I113" s="19"/>
      <c r="J113" s="19"/>
      <c r="K113" s="19"/>
      <c r="L113" s="19"/>
      <c r="M113" s="19"/>
      <c r="N113" s="19"/>
      <c r="O113" s="19"/>
    </row>
    <row r="114" spans="1:15" hidden="1" x14ac:dyDescent="0.3">
      <c r="A114" s="19"/>
      <c r="B114" s="19"/>
      <c r="C114" s="19"/>
      <c r="D114" s="19"/>
      <c r="E114" s="19"/>
      <c r="F114" s="19"/>
      <c r="G114" s="19"/>
      <c r="I114" s="19"/>
      <c r="J114" s="19"/>
      <c r="K114" s="19"/>
      <c r="L114" s="19"/>
      <c r="M114" s="19"/>
      <c r="N114" s="19"/>
      <c r="O114" s="19"/>
    </row>
    <row r="115" spans="1:15" hidden="1" x14ac:dyDescent="0.3">
      <c r="A115" s="19"/>
      <c r="B115" s="19"/>
      <c r="C115" s="19"/>
      <c r="D115" s="19"/>
      <c r="E115" s="19"/>
      <c r="F115" s="19"/>
      <c r="G115" s="19"/>
      <c r="I115" s="19"/>
      <c r="J115" s="19"/>
      <c r="K115" s="19"/>
      <c r="L115" s="19"/>
      <c r="M115" s="19"/>
      <c r="N115" s="19"/>
      <c r="O115" s="19"/>
    </row>
    <row r="116" spans="1:15" hidden="1" x14ac:dyDescent="0.3">
      <c r="A116" s="19"/>
      <c r="B116" s="19"/>
      <c r="C116" s="19"/>
      <c r="D116" s="19"/>
      <c r="E116" s="19"/>
      <c r="F116" s="19"/>
      <c r="G116" s="19"/>
      <c r="I116" s="19"/>
      <c r="J116" s="19"/>
      <c r="K116" s="19"/>
      <c r="L116" s="19"/>
      <c r="M116" s="19"/>
      <c r="N116" s="19"/>
      <c r="O116" s="19"/>
    </row>
    <row r="117" spans="1:15" hidden="1" x14ac:dyDescent="0.3">
      <c r="A117" s="19"/>
      <c r="B117" s="19"/>
      <c r="C117" s="19"/>
      <c r="D117" s="19"/>
      <c r="E117" s="19"/>
      <c r="F117" s="19"/>
      <c r="G117" s="19"/>
      <c r="I117" s="19"/>
      <c r="J117" s="19"/>
      <c r="K117" s="19"/>
      <c r="L117" s="19"/>
      <c r="M117" s="19"/>
      <c r="N117" s="19"/>
      <c r="O117" s="19"/>
    </row>
    <row r="118" spans="1:15" hidden="1" x14ac:dyDescent="0.3">
      <c r="A118" s="19"/>
      <c r="B118" s="19"/>
      <c r="C118" s="19"/>
      <c r="D118" s="19"/>
      <c r="E118" s="19"/>
      <c r="F118" s="19"/>
      <c r="G118" s="19"/>
      <c r="I118" s="19"/>
      <c r="J118" s="19"/>
      <c r="K118" s="19"/>
      <c r="L118" s="19"/>
      <c r="M118" s="19"/>
      <c r="N118" s="19"/>
      <c r="O118" s="19"/>
    </row>
    <row r="119" spans="1:15" hidden="1" x14ac:dyDescent="0.3">
      <c r="A119" s="19"/>
      <c r="B119" s="19"/>
      <c r="C119" s="19"/>
      <c r="D119" s="19"/>
      <c r="E119" s="19"/>
      <c r="F119" s="19"/>
      <c r="G119" s="19"/>
      <c r="I119" s="19"/>
      <c r="J119" s="19"/>
      <c r="K119" s="19"/>
      <c r="L119" s="19"/>
      <c r="M119" s="19"/>
      <c r="N119" s="19"/>
      <c r="O119" s="19"/>
    </row>
    <row r="120" spans="1:15" hidden="1" x14ac:dyDescent="0.3">
      <c r="A120" s="19"/>
      <c r="B120" s="19"/>
      <c r="C120" s="19"/>
      <c r="D120" s="19"/>
      <c r="E120" s="19"/>
      <c r="F120" s="19"/>
      <c r="G120" s="19"/>
      <c r="I120" s="19"/>
      <c r="J120" s="19"/>
      <c r="K120" s="19"/>
      <c r="L120" s="19"/>
      <c r="M120" s="19"/>
      <c r="N120" s="19"/>
      <c r="O120" s="19"/>
    </row>
    <row r="121" spans="1:15" hidden="1" x14ac:dyDescent="0.3">
      <c r="A121" s="19"/>
      <c r="B121" s="19"/>
      <c r="C121" s="19"/>
      <c r="D121" s="19"/>
      <c r="E121" s="19"/>
      <c r="F121" s="19"/>
      <c r="G121" s="19"/>
      <c r="I121" s="19"/>
      <c r="J121" s="19"/>
      <c r="K121" s="19"/>
      <c r="L121" s="19"/>
      <c r="M121" s="19"/>
      <c r="N121" s="19"/>
      <c r="O121" s="19"/>
    </row>
    <row r="122" spans="1:15" hidden="1" x14ac:dyDescent="0.3">
      <c r="A122" s="19"/>
      <c r="B122" s="19"/>
      <c r="C122" s="19"/>
      <c r="D122" s="19"/>
      <c r="E122" s="19"/>
      <c r="F122" s="19"/>
      <c r="G122" s="19"/>
      <c r="I122" s="19"/>
      <c r="J122" s="19"/>
      <c r="K122" s="19"/>
      <c r="L122" s="19"/>
      <c r="M122" s="19"/>
      <c r="N122" s="19"/>
      <c r="O122" s="19"/>
    </row>
    <row r="123" spans="1:15" hidden="1" x14ac:dyDescent="0.3">
      <c r="A123" s="19"/>
      <c r="B123" s="19"/>
      <c r="C123" s="19"/>
      <c r="D123" s="19"/>
      <c r="E123" s="19"/>
      <c r="F123" s="19"/>
      <c r="G123" s="19"/>
      <c r="I123" s="19"/>
      <c r="J123" s="19"/>
      <c r="K123" s="19"/>
      <c r="L123" s="19"/>
      <c r="M123" s="19"/>
      <c r="N123" s="19"/>
      <c r="O123" s="19"/>
    </row>
    <row r="124" spans="1:15" hidden="1" x14ac:dyDescent="0.3">
      <c r="A124" s="19"/>
      <c r="B124" s="19"/>
      <c r="C124" s="19"/>
      <c r="D124" s="19"/>
      <c r="E124" s="19"/>
      <c r="F124" s="19"/>
      <c r="G124" s="19"/>
      <c r="I124" s="19"/>
      <c r="J124" s="19"/>
      <c r="K124" s="19"/>
      <c r="L124" s="19"/>
      <c r="M124" s="19"/>
      <c r="N124" s="19"/>
      <c r="O124" s="19"/>
    </row>
    <row r="125" spans="1:15" hidden="1" x14ac:dyDescent="0.3">
      <c r="A125" s="19"/>
      <c r="B125" s="19"/>
      <c r="C125" s="19"/>
      <c r="D125" s="19"/>
      <c r="E125" s="19"/>
      <c r="F125" s="19"/>
      <c r="G125" s="19"/>
      <c r="I125" s="19"/>
      <c r="J125" s="19"/>
      <c r="K125" s="19"/>
      <c r="L125" s="19"/>
      <c r="M125" s="19"/>
      <c r="N125" s="19"/>
      <c r="O125" s="19"/>
    </row>
    <row r="126" spans="1:15" hidden="1" x14ac:dyDescent="0.3">
      <c r="A126" s="19"/>
      <c r="B126" s="19"/>
      <c r="C126" s="19"/>
      <c r="D126" s="19"/>
      <c r="E126" s="19"/>
      <c r="F126" s="19"/>
      <c r="G126" s="19"/>
      <c r="I126" s="19"/>
      <c r="J126" s="19"/>
      <c r="K126" s="19"/>
      <c r="L126" s="19"/>
      <c r="M126" s="19"/>
      <c r="N126" s="19"/>
      <c r="O126" s="19"/>
    </row>
    <row r="127" spans="1:15" hidden="1" x14ac:dyDescent="0.3">
      <c r="A127" s="19"/>
      <c r="B127" s="19"/>
      <c r="C127" s="19"/>
      <c r="D127" s="19"/>
      <c r="E127" s="19"/>
      <c r="F127" s="19"/>
      <c r="G127" s="19"/>
      <c r="I127" s="19"/>
      <c r="J127" s="19"/>
      <c r="K127" s="19"/>
      <c r="L127" s="19"/>
      <c r="M127" s="19"/>
      <c r="N127" s="19"/>
      <c r="O127" s="19"/>
    </row>
    <row r="128" spans="1:15" hidden="1" x14ac:dyDescent="0.3">
      <c r="A128" s="19"/>
      <c r="B128" s="19"/>
      <c r="C128" s="19"/>
      <c r="D128" s="19"/>
      <c r="E128" s="19"/>
      <c r="F128" s="19"/>
      <c r="G128" s="19"/>
      <c r="I128" s="19"/>
      <c r="J128" s="19"/>
      <c r="K128" s="19"/>
      <c r="L128" s="19"/>
      <c r="M128" s="19"/>
      <c r="N128" s="19"/>
      <c r="O128" s="19"/>
    </row>
    <row r="129" spans="1:15" hidden="1" x14ac:dyDescent="0.3">
      <c r="A129" s="19"/>
      <c r="B129" s="19"/>
      <c r="C129" s="19"/>
      <c r="D129" s="19"/>
      <c r="E129" s="19"/>
      <c r="F129" s="19"/>
      <c r="G129" s="19"/>
      <c r="I129" s="19"/>
      <c r="J129" s="19"/>
      <c r="K129" s="19"/>
      <c r="L129" s="19"/>
      <c r="M129" s="19"/>
      <c r="N129" s="19"/>
      <c r="O129" s="19"/>
    </row>
    <row r="130" spans="1:15" hidden="1" x14ac:dyDescent="0.3">
      <c r="A130" s="19"/>
      <c r="B130" s="19"/>
      <c r="C130" s="19"/>
      <c r="D130" s="19"/>
      <c r="E130" s="19"/>
      <c r="F130" s="19"/>
      <c r="G130" s="19"/>
      <c r="I130" s="19"/>
      <c r="J130" s="19"/>
      <c r="K130" s="19"/>
      <c r="L130" s="19"/>
      <c r="M130" s="19"/>
      <c r="N130" s="19"/>
      <c r="O130" s="19"/>
    </row>
    <row r="131" spans="1:15" hidden="1" x14ac:dyDescent="0.3">
      <c r="A131" s="19"/>
      <c r="B131" s="19"/>
      <c r="C131" s="19"/>
      <c r="D131" s="19"/>
      <c r="E131" s="19"/>
      <c r="F131" s="19"/>
      <c r="G131" s="19"/>
      <c r="I131" s="19"/>
      <c r="J131" s="19"/>
      <c r="K131" s="19"/>
      <c r="L131" s="19"/>
      <c r="M131" s="19"/>
      <c r="N131" s="19"/>
      <c r="O131" s="19"/>
    </row>
    <row r="132" spans="1:15" hidden="1" x14ac:dyDescent="0.3">
      <c r="A132" s="19"/>
      <c r="B132" s="19"/>
      <c r="C132" s="19"/>
      <c r="D132" s="19"/>
      <c r="E132" s="19"/>
      <c r="F132" s="19"/>
      <c r="G132" s="19"/>
      <c r="I132" s="19"/>
      <c r="J132" s="19"/>
      <c r="K132" s="19"/>
      <c r="L132" s="19"/>
      <c r="M132" s="19"/>
      <c r="N132" s="19"/>
      <c r="O132" s="19"/>
    </row>
    <row r="133" spans="1:15" hidden="1" x14ac:dyDescent="0.3">
      <c r="A133" s="19"/>
      <c r="B133" s="19"/>
      <c r="C133" s="19"/>
      <c r="D133" s="19"/>
      <c r="E133" s="19"/>
      <c r="F133" s="19"/>
      <c r="G133" s="19"/>
      <c r="I133" s="19"/>
      <c r="J133" s="19"/>
      <c r="K133" s="19"/>
      <c r="L133" s="19"/>
      <c r="M133" s="19"/>
      <c r="N133" s="19"/>
      <c r="O133" s="19"/>
    </row>
    <row r="134" spans="1:15" hidden="1" x14ac:dyDescent="0.3">
      <c r="A134" s="19"/>
      <c r="B134" s="19"/>
      <c r="C134" s="19"/>
      <c r="D134" s="19"/>
      <c r="E134" s="19"/>
      <c r="F134" s="19"/>
      <c r="G134" s="19"/>
      <c r="I134" s="19"/>
      <c r="J134" s="19"/>
      <c r="K134" s="19"/>
      <c r="L134" s="19"/>
      <c r="M134" s="19"/>
      <c r="N134" s="19"/>
      <c r="O134" s="19"/>
    </row>
    <row r="135" spans="1:15" hidden="1" x14ac:dyDescent="0.3">
      <c r="A135" s="19"/>
      <c r="B135" s="19"/>
      <c r="C135" s="19"/>
      <c r="D135" s="19"/>
      <c r="E135" s="19"/>
      <c r="F135" s="19"/>
      <c r="G135" s="19"/>
      <c r="I135" s="19"/>
      <c r="J135" s="19"/>
      <c r="K135" s="19"/>
      <c r="L135" s="19"/>
      <c r="M135" s="19"/>
      <c r="N135" s="19"/>
      <c r="O135" s="19"/>
    </row>
    <row r="136" spans="1:15" hidden="1" x14ac:dyDescent="0.3">
      <c r="A136" s="19"/>
      <c r="B136" s="19"/>
      <c r="C136" s="19"/>
      <c r="D136" s="19"/>
      <c r="E136" s="19"/>
      <c r="F136" s="19"/>
      <c r="G136" s="19"/>
      <c r="I136" s="19"/>
      <c r="J136" s="19"/>
      <c r="K136" s="19"/>
      <c r="L136" s="19"/>
      <c r="M136" s="19"/>
      <c r="N136" s="19"/>
      <c r="O136" s="19"/>
    </row>
    <row r="137" spans="1:15" hidden="1" x14ac:dyDescent="0.3">
      <c r="A137" s="19"/>
      <c r="B137" s="19"/>
      <c r="C137" s="19"/>
      <c r="D137" s="19"/>
      <c r="E137" s="19"/>
      <c r="F137" s="19"/>
      <c r="G137" s="19"/>
      <c r="I137" s="19"/>
      <c r="J137" s="19"/>
      <c r="K137" s="19"/>
      <c r="L137" s="19"/>
      <c r="M137" s="19"/>
      <c r="N137" s="19"/>
      <c r="O137" s="19"/>
    </row>
    <row r="138" spans="1:15" hidden="1" x14ac:dyDescent="0.3">
      <c r="A138" s="19"/>
      <c r="B138" s="19"/>
      <c r="C138" s="19"/>
      <c r="D138" s="19"/>
      <c r="E138" s="19"/>
      <c r="F138" s="19"/>
      <c r="G138" s="19"/>
      <c r="I138" s="19"/>
      <c r="J138" s="19"/>
      <c r="K138" s="19"/>
      <c r="L138" s="19"/>
      <c r="M138" s="19"/>
      <c r="N138" s="19"/>
      <c r="O138" s="19"/>
    </row>
    <row r="139" spans="1:15" hidden="1" x14ac:dyDescent="0.3">
      <c r="A139" s="19"/>
      <c r="B139" s="19"/>
      <c r="C139" s="19"/>
      <c r="D139" s="19"/>
      <c r="E139" s="19"/>
      <c r="F139" s="19"/>
      <c r="G139" s="19"/>
      <c r="I139" s="19"/>
      <c r="J139" s="19"/>
      <c r="K139" s="19"/>
      <c r="L139" s="19"/>
      <c r="M139" s="19"/>
      <c r="N139" s="19"/>
      <c r="O139" s="19"/>
    </row>
    <row r="140" spans="1:15" hidden="1" x14ac:dyDescent="0.3">
      <c r="A140" s="19"/>
      <c r="B140" s="19"/>
      <c r="C140" s="19"/>
      <c r="D140" s="19"/>
      <c r="E140" s="19"/>
      <c r="F140" s="19"/>
      <c r="G140" s="19"/>
      <c r="I140" s="19"/>
      <c r="J140" s="19"/>
      <c r="K140" s="19"/>
      <c r="L140" s="19"/>
      <c r="M140" s="19"/>
      <c r="N140" s="19"/>
      <c r="O140" s="19"/>
    </row>
    <row r="141" spans="1:15" hidden="1" x14ac:dyDescent="0.3">
      <c r="A141" s="19"/>
      <c r="B141" s="19"/>
      <c r="C141" s="19"/>
      <c r="D141" s="19"/>
      <c r="E141" s="19"/>
      <c r="F141" s="19"/>
      <c r="G141" s="19"/>
      <c r="I141" s="19"/>
      <c r="J141" s="19"/>
      <c r="K141" s="19"/>
      <c r="L141" s="19"/>
      <c r="M141" s="19"/>
      <c r="N141" s="19"/>
      <c r="O141" s="19"/>
    </row>
    <row r="142" spans="1:15" hidden="1" x14ac:dyDescent="0.3">
      <c r="A142" s="19"/>
      <c r="B142" s="19"/>
      <c r="C142" s="19"/>
      <c r="D142" s="19"/>
      <c r="E142" s="19"/>
      <c r="F142" s="19"/>
      <c r="G142" s="19"/>
      <c r="I142" s="19"/>
      <c r="J142" s="19"/>
      <c r="K142" s="19"/>
      <c r="L142" s="19"/>
      <c r="M142" s="19"/>
      <c r="N142" s="19"/>
      <c r="O142" s="19"/>
    </row>
    <row r="143" spans="1:15" hidden="1" x14ac:dyDescent="0.3">
      <c r="A143" s="19"/>
      <c r="B143" s="19"/>
      <c r="C143" s="19"/>
      <c r="D143" s="19"/>
      <c r="E143" s="19"/>
      <c r="F143" s="19"/>
      <c r="G143" s="19"/>
      <c r="I143" s="19"/>
      <c r="J143" s="19"/>
      <c r="K143" s="19"/>
      <c r="L143" s="19"/>
      <c r="M143" s="19"/>
      <c r="N143" s="19"/>
      <c r="O143" s="19"/>
    </row>
    <row r="144" spans="1:15" hidden="1" x14ac:dyDescent="0.3">
      <c r="A144" s="19"/>
      <c r="B144" s="19"/>
      <c r="C144" s="19"/>
      <c r="D144" s="19"/>
      <c r="E144" s="19"/>
      <c r="F144" s="19"/>
      <c r="G144" s="19"/>
      <c r="I144" s="19"/>
      <c r="J144" s="19"/>
      <c r="K144" s="19"/>
      <c r="L144" s="19"/>
      <c r="M144" s="19"/>
      <c r="N144" s="19"/>
      <c r="O144" s="19"/>
    </row>
    <row r="145" spans="1:15" hidden="1" x14ac:dyDescent="0.3">
      <c r="A145" s="19"/>
      <c r="B145" s="19"/>
      <c r="C145" s="19"/>
      <c r="D145" s="19"/>
      <c r="E145" s="19"/>
      <c r="F145" s="19"/>
      <c r="G145" s="19"/>
      <c r="I145" s="19"/>
      <c r="J145" s="19"/>
      <c r="K145" s="19"/>
      <c r="L145" s="19"/>
      <c r="M145" s="19"/>
      <c r="N145" s="19"/>
      <c r="O145" s="19"/>
    </row>
    <row r="146" spans="1:15" hidden="1" x14ac:dyDescent="0.3">
      <c r="A146" s="19"/>
      <c r="B146" s="19"/>
      <c r="C146" s="19"/>
      <c r="D146" s="19"/>
      <c r="E146" s="19"/>
      <c r="F146" s="19"/>
      <c r="G146" s="19"/>
      <c r="I146" s="19"/>
      <c r="J146" s="19"/>
      <c r="K146" s="19"/>
      <c r="L146" s="19"/>
      <c r="M146" s="19"/>
      <c r="N146" s="19"/>
      <c r="O146" s="19"/>
    </row>
    <row r="147" spans="1:15" hidden="1" x14ac:dyDescent="0.3">
      <c r="A147" s="19"/>
      <c r="B147" s="19"/>
      <c r="C147" s="19"/>
      <c r="D147" s="19"/>
      <c r="E147" s="19"/>
      <c r="F147" s="19"/>
      <c r="G147" s="19"/>
      <c r="I147" s="19"/>
      <c r="J147" s="19"/>
      <c r="K147" s="19"/>
      <c r="L147" s="19"/>
      <c r="M147" s="19"/>
      <c r="N147" s="19"/>
      <c r="O147" s="19"/>
    </row>
    <row r="148" spans="1:15" hidden="1" x14ac:dyDescent="0.3">
      <c r="A148" s="19"/>
      <c r="B148" s="19"/>
      <c r="C148" s="19"/>
      <c r="D148" s="19"/>
      <c r="E148" s="19"/>
      <c r="F148" s="19"/>
      <c r="G148" s="19"/>
      <c r="I148" s="19"/>
      <c r="J148" s="19"/>
      <c r="K148" s="19"/>
      <c r="L148" s="19"/>
      <c r="M148" s="19"/>
      <c r="N148" s="19"/>
      <c r="O148" s="19"/>
    </row>
    <row r="149" spans="1:15" hidden="1" x14ac:dyDescent="0.3">
      <c r="A149" s="19"/>
      <c r="B149" s="19"/>
      <c r="C149" s="19"/>
      <c r="D149" s="19"/>
      <c r="E149" s="19"/>
      <c r="F149" s="19"/>
      <c r="G149" s="19"/>
      <c r="I149" s="19"/>
      <c r="J149" s="19"/>
      <c r="K149" s="19"/>
      <c r="L149" s="19"/>
      <c r="M149" s="19"/>
      <c r="N149" s="19"/>
      <c r="O149" s="19"/>
    </row>
    <row r="150" spans="1:15" hidden="1" x14ac:dyDescent="0.3">
      <c r="A150" s="19"/>
      <c r="B150" s="19"/>
      <c r="C150" s="19"/>
      <c r="D150" s="19"/>
      <c r="E150" s="19"/>
      <c r="F150" s="19"/>
      <c r="G150" s="19"/>
      <c r="I150" s="19"/>
      <c r="J150" s="19"/>
      <c r="K150" s="19"/>
      <c r="L150" s="19"/>
      <c r="M150" s="19"/>
      <c r="N150" s="19"/>
      <c r="O150" s="19"/>
    </row>
    <row r="151" spans="1:15" hidden="1" x14ac:dyDescent="0.3">
      <c r="A151" s="19"/>
      <c r="B151" s="19"/>
      <c r="C151" s="19"/>
      <c r="D151" s="19"/>
      <c r="E151" s="19"/>
      <c r="F151" s="19"/>
      <c r="G151" s="19"/>
      <c r="I151" s="19"/>
      <c r="J151" s="19"/>
      <c r="K151" s="19"/>
      <c r="L151" s="19"/>
      <c r="M151" s="19"/>
      <c r="N151" s="19"/>
      <c r="O151" s="19"/>
    </row>
    <row r="152" spans="1:15" hidden="1" x14ac:dyDescent="0.3">
      <c r="A152" s="19"/>
      <c r="B152" s="19"/>
      <c r="C152" s="19"/>
      <c r="D152" s="19"/>
      <c r="E152" s="19"/>
      <c r="F152" s="19"/>
      <c r="G152" s="19"/>
      <c r="I152" s="19"/>
      <c r="J152" s="19"/>
      <c r="K152" s="19"/>
      <c r="L152" s="19"/>
      <c r="M152" s="19"/>
      <c r="N152" s="19"/>
      <c r="O152" s="19"/>
    </row>
    <row r="153" spans="1:15" hidden="1" x14ac:dyDescent="0.3">
      <c r="A153" s="19"/>
      <c r="B153" s="19"/>
      <c r="C153" s="19"/>
      <c r="D153" s="19"/>
      <c r="E153" s="19"/>
      <c r="F153" s="19"/>
      <c r="G153" s="19"/>
      <c r="I153" s="19"/>
      <c r="J153" s="19"/>
      <c r="K153" s="19"/>
      <c r="L153" s="19"/>
      <c r="M153" s="19"/>
      <c r="N153" s="19"/>
      <c r="O153" s="19"/>
    </row>
    <row r="154" spans="1:15" hidden="1" x14ac:dyDescent="0.3">
      <c r="A154" s="19"/>
      <c r="B154" s="19"/>
      <c r="C154" s="19"/>
      <c r="D154" s="19"/>
      <c r="E154" s="19"/>
      <c r="F154" s="19"/>
      <c r="G154" s="19"/>
      <c r="I154" s="19"/>
      <c r="J154" s="19"/>
      <c r="K154" s="19"/>
      <c r="L154" s="19"/>
      <c r="M154" s="19"/>
      <c r="N154" s="19"/>
      <c r="O154" s="19"/>
    </row>
    <row r="155" spans="1:15" hidden="1" x14ac:dyDescent="0.3">
      <c r="A155" s="19"/>
      <c r="B155" s="19"/>
      <c r="C155" s="19"/>
      <c r="D155" s="19"/>
      <c r="E155" s="19"/>
      <c r="F155" s="19"/>
      <c r="G155" s="19"/>
      <c r="I155" s="19"/>
      <c r="J155" s="19"/>
      <c r="K155" s="19"/>
      <c r="L155" s="19"/>
      <c r="M155" s="19"/>
      <c r="N155" s="19"/>
      <c r="O155" s="19"/>
    </row>
    <row r="156" spans="1:15" hidden="1" x14ac:dyDescent="0.3">
      <c r="A156" s="19"/>
      <c r="B156" s="19"/>
      <c r="C156" s="19"/>
      <c r="D156" s="19"/>
      <c r="E156" s="19"/>
      <c r="F156" s="19"/>
      <c r="G156" s="19"/>
      <c r="I156" s="19"/>
      <c r="J156" s="19"/>
      <c r="K156" s="19"/>
      <c r="L156" s="19"/>
      <c r="M156" s="19"/>
      <c r="N156" s="19"/>
      <c r="O156" s="19"/>
    </row>
    <row r="157" spans="1:15" hidden="1" x14ac:dyDescent="0.3">
      <c r="A157" s="19"/>
      <c r="B157" s="19"/>
      <c r="C157" s="19"/>
      <c r="D157" s="19"/>
      <c r="E157" s="19"/>
      <c r="F157" s="19"/>
      <c r="G157" s="19"/>
      <c r="I157" s="19"/>
      <c r="J157" s="19"/>
      <c r="K157" s="19"/>
      <c r="L157" s="19"/>
      <c r="M157" s="19"/>
      <c r="N157" s="19"/>
      <c r="O157" s="19"/>
    </row>
    <row r="158" spans="1:15" hidden="1" x14ac:dyDescent="0.3">
      <c r="A158" s="19"/>
      <c r="B158" s="19"/>
      <c r="C158" s="19"/>
      <c r="D158" s="19"/>
      <c r="E158" s="19"/>
      <c r="F158" s="19"/>
      <c r="G158" s="19"/>
      <c r="I158" s="19"/>
      <c r="J158" s="19"/>
      <c r="K158" s="19"/>
      <c r="L158" s="19"/>
      <c r="M158" s="19"/>
      <c r="N158" s="19"/>
      <c r="O158" s="19"/>
    </row>
    <row r="159" spans="1:15" hidden="1" x14ac:dyDescent="0.3">
      <c r="A159" s="19"/>
      <c r="B159" s="19"/>
      <c r="C159" s="19"/>
      <c r="D159" s="19"/>
      <c r="E159" s="19"/>
      <c r="F159" s="19"/>
      <c r="G159" s="19"/>
      <c r="I159" s="19"/>
      <c r="J159" s="19"/>
      <c r="K159" s="19"/>
      <c r="L159" s="19"/>
      <c r="M159" s="19"/>
      <c r="N159" s="19"/>
      <c r="O159" s="19"/>
    </row>
    <row r="160" spans="1:15" hidden="1" x14ac:dyDescent="0.3">
      <c r="A160" s="19"/>
      <c r="B160" s="19"/>
      <c r="C160" s="19"/>
      <c r="D160" s="19"/>
      <c r="E160" s="19"/>
      <c r="F160" s="19"/>
      <c r="G160" s="19"/>
      <c r="I160" s="19"/>
      <c r="J160" s="19"/>
      <c r="K160" s="19"/>
      <c r="L160" s="19"/>
      <c r="M160" s="19"/>
      <c r="N160" s="19"/>
      <c r="O160" s="19"/>
    </row>
    <row r="161" spans="1:15" hidden="1" x14ac:dyDescent="0.3">
      <c r="A161" s="19"/>
      <c r="B161" s="19"/>
      <c r="C161" s="19"/>
      <c r="D161" s="19"/>
      <c r="E161" s="19"/>
      <c r="F161" s="19"/>
      <c r="G161" s="19"/>
      <c r="I161" s="19"/>
      <c r="J161" s="19"/>
      <c r="K161" s="19"/>
      <c r="L161" s="19"/>
      <c r="M161" s="19"/>
      <c r="N161" s="19"/>
      <c r="O161" s="19"/>
    </row>
    <row r="162" spans="1:15" hidden="1" x14ac:dyDescent="0.3">
      <c r="A162" s="19"/>
      <c r="B162" s="19"/>
      <c r="C162" s="19"/>
      <c r="D162" s="19"/>
      <c r="E162" s="19"/>
      <c r="F162" s="19"/>
      <c r="G162" s="19"/>
      <c r="I162" s="19"/>
      <c r="J162" s="19"/>
      <c r="K162" s="19"/>
      <c r="L162" s="19"/>
      <c r="M162" s="19"/>
      <c r="N162" s="19"/>
      <c r="O162" s="19"/>
    </row>
    <row r="163" spans="1:15" hidden="1" x14ac:dyDescent="0.3">
      <c r="A163" s="19"/>
      <c r="B163" s="19"/>
      <c r="C163" s="19"/>
      <c r="D163" s="19"/>
      <c r="E163" s="19"/>
      <c r="F163" s="19"/>
      <c r="G163" s="19"/>
      <c r="I163" s="19"/>
      <c r="J163" s="19"/>
      <c r="K163" s="19"/>
      <c r="L163" s="19"/>
      <c r="M163" s="19"/>
      <c r="N163" s="19"/>
      <c r="O163" s="19"/>
    </row>
    <row r="164" spans="1:15" hidden="1" x14ac:dyDescent="0.3">
      <c r="A164" s="19"/>
      <c r="B164" s="19"/>
      <c r="C164" s="19"/>
      <c r="D164" s="19"/>
      <c r="E164" s="19"/>
      <c r="F164" s="19"/>
      <c r="G164" s="19"/>
      <c r="I164" s="19"/>
      <c r="J164" s="19"/>
      <c r="K164" s="19"/>
      <c r="L164" s="19"/>
      <c r="M164" s="19"/>
      <c r="N164" s="19"/>
      <c r="O164" s="19"/>
    </row>
    <row r="165" spans="1:15" hidden="1" x14ac:dyDescent="0.3">
      <c r="A165" s="19"/>
      <c r="B165" s="19"/>
      <c r="C165" s="19"/>
      <c r="D165" s="19"/>
      <c r="E165" s="19"/>
      <c r="F165" s="19"/>
      <c r="G165" s="19"/>
      <c r="I165" s="19"/>
      <c r="J165" s="19"/>
      <c r="K165" s="19"/>
      <c r="L165" s="19"/>
      <c r="M165" s="19"/>
      <c r="N165" s="19"/>
      <c r="O165" s="19"/>
    </row>
    <row r="166" spans="1:15" hidden="1" x14ac:dyDescent="0.3">
      <c r="A166" s="19"/>
      <c r="B166" s="19"/>
      <c r="C166" s="19"/>
      <c r="D166" s="19"/>
      <c r="E166" s="19"/>
      <c r="F166" s="19"/>
      <c r="G166" s="19"/>
      <c r="I166" s="19"/>
      <c r="J166" s="19"/>
      <c r="K166" s="19"/>
      <c r="L166" s="19"/>
      <c r="M166" s="19"/>
      <c r="N166" s="19"/>
      <c r="O166" s="19"/>
    </row>
    <row r="167" spans="1:15" hidden="1" x14ac:dyDescent="0.3">
      <c r="A167" s="19"/>
      <c r="B167" s="19"/>
      <c r="C167" s="19"/>
      <c r="D167" s="19"/>
      <c r="E167" s="19"/>
      <c r="F167" s="19"/>
      <c r="G167" s="19"/>
      <c r="I167" s="19"/>
      <c r="J167" s="19"/>
      <c r="K167" s="19"/>
      <c r="L167" s="19"/>
      <c r="M167" s="19"/>
      <c r="N167" s="19"/>
      <c r="O167" s="19"/>
    </row>
    <row r="168" spans="1:15" hidden="1" x14ac:dyDescent="0.3">
      <c r="A168" s="19"/>
      <c r="B168" s="19"/>
      <c r="C168" s="19"/>
      <c r="D168" s="19"/>
      <c r="E168" s="19"/>
      <c r="F168" s="19"/>
      <c r="G168" s="19"/>
      <c r="I168" s="19"/>
      <c r="J168" s="19"/>
      <c r="K168" s="19"/>
      <c r="L168" s="19"/>
      <c r="M168" s="19"/>
      <c r="N168" s="19"/>
      <c r="O168" s="19"/>
    </row>
    <row r="169" spans="1:15" hidden="1" x14ac:dyDescent="0.3">
      <c r="A169" s="19"/>
      <c r="B169" s="19"/>
      <c r="C169" s="19"/>
      <c r="D169" s="19"/>
      <c r="E169" s="19"/>
      <c r="F169" s="19"/>
      <c r="G169" s="19"/>
      <c r="I169" s="19"/>
      <c r="J169" s="19"/>
      <c r="K169" s="19"/>
      <c r="L169" s="19"/>
      <c r="M169" s="19"/>
      <c r="N169" s="19"/>
      <c r="O169" s="19"/>
    </row>
    <row r="170" spans="1:15" hidden="1" x14ac:dyDescent="0.3">
      <c r="A170" s="19"/>
      <c r="B170" s="19"/>
      <c r="C170" s="19"/>
      <c r="D170" s="19"/>
      <c r="E170" s="19"/>
      <c r="F170" s="19"/>
      <c r="G170" s="19"/>
      <c r="I170" s="19"/>
      <c r="J170" s="19"/>
      <c r="K170" s="19"/>
      <c r="L170" s="19"/>
      <c r="M170" s="19"/>
      <c r="N170" s="19"/>
      <c r="O170" s="19"/>
    </row>
    <row r="171" spans="1:15" hidden="1" x14ac:dyDescent="0.3">
      <c r="A171" s="19"/>
      <c r="B171" s="19"/>
      <c r="C171" s="19"/>
      <c r="D171" s="19"/>
      <c r="E171" s="19"/>
      <c r="F171" s="19"/>
      <c r="G171" s="19"/>
      <c r="I171" s="19"/>
      <c r="J171" s="19"/>
      <c r="K171" s="19"/>
      <c r="L171" s="19"/>
      <c r="M171" s="19"/>
      <c r="N171" s="19"/>
      <c r="O171" s="19"/>
    </row>
    <row r="172" spans="1:15" hidden="1" x14ac:dyDescent="0.3">
      <c r="A172" s="19"/>
      <c r="B172" s="19"/>
      <c r="C172" s="19"/>
      <c r="D172" s="19"/>
      <c r="E172" s="19"/>
      <c r="F172" s="19"/>
      <c r="G172" s="19"/>
      <c r="I172" s="19"/>
      <c r="J172" s="19"/>
      <c r="K172" s="19"/>
      <c r="L172" s="19"/>
      <c r="M172" s="19"/>
      <c r="N172" s="19"/>
      <c r="O172" s="19"/>
    </row>
    <row r="173" spans="1:15" hidden="1" x14ac:dyDescent="0.3">
      <c r="A173" s="19"/>
      <c r="B173" s="19"/>
      <c r="C173" s="19"/>
      <c r="D173" s="19"/>
      <c r="E173" s="19"/>
      <c r="F173" s="19"/>
      <c r="G173" s="19"/>
      <c r="I173" s="19"/>
      <c r="J173" s="19"/>
      <c r="K173" s="19"/>
      <c r="L173" s="19"/>
      <c r="M173" s="19"/>
      <c r="N173" s="19"/>
      <c r="O173" s="19"/>
    </row>
    <row r="174" spans="1:15" hidden="1" x14ac:dyDescent="0.3">
      <c r="A174" s="19"/>
      <c r="B174" s="19"/>
      <c r="C174" s="19"/>
      <c r="D174" s="19"/>
      <c r="E174" s="19"/>
      <c r="F174" s="19"/>
      <c r="G174" s="19"/>
      <c r="I174" s="19"/>
      <c r="J174" s="19"/>
      <c r="K174" s="19"/>
      <c r="L174" s="19"/>
      <c r="M174" s="19"/>
      <c r="N174" s="19"/>
      <c r="O174" s="19"/>
    </row>
    <row r="175" spans="1:15" hidden="1" x14ac:dyDescent="0.3">
      <c r="A175" s="19"/>
      <c r="B175" s="19"/>
      <c r="C175" s="19"/>
      <c r="D175" s="19"/>
      <c r="E175" s="19"/>
      <c r="F175" s="19"/>
      <c r="G175" s="19"/>
      <c r="I175" s="19"/>
      <c r="J175" s="19"/>
      <c r="K175" s="19"/>
      <c r="L175" s="19"/>
      <c r="M175" s="19"/>
      <c r="N175" s="19"/>
      <c r="O175" s="19"/>
    </row>
    <row r="176" spans="1:15" hidden="1" x14ac:dyDescent="0.3">
      <c r="A176" s="19"/>
      <c r="B176" s="19"/>
      <c r="C176" s="19"/>
      <c r="D176" s="19"/>
      <c r="E176" s="19"/>
      <c r="F176" s="19"/>
      <c r="G176" s="19"/>
      <c r="I176" s="19"/>
      <c r="J176" s="19"/>
      <c r="K176" s="19"/>
      <c r="L176" s="19"/>
      <c r="M176" s="19"/>
      <c r="N176" s="19"/>
      <c r="O176" s="19"/>
    </row>
    <row r="177" spans="1:15" hidden="1" x14ac:dyDescent="0.3">
      <c r="A177" s="19"/>
      <c r="B177" s="19"/>
      <c r="C177" s="19"/>
      <c r="D177" s="19"/>
      <c r="E177" s="19"/>
      <c r="F177" s="19"/>
      <c r="G177" s="19"/>
      <c r="I177" s="19"/>
      <c r="J177" s="19"/>
      <c r="K177" s="19"/>
      <c r="L177" s="19"/>
      <c r="M177" s="19"/>
      <c r="N177" s="19"/>
      <c r="O177" s="19"/>
    </row>
    <row r="178" spans="1:15" hidden="1" x14ac:dyDescent="0.3">
      <c r="A178" s="19"/>
      <c r="B178" s="19"/>
      <c r="C178" s="19"/>
      <c r="D178" s="19"/>
      <c r="E178" s="19"/>
      <c r="F178" s="19"/>
      <c r="G178" s="19"/>
      <c r="I178" s="19"/>
      <c r="J178" s="19"/>
      <c r="K178" s="19"/>
      <c r="L178" s="19"/>
      <c r="M178" s="19"/>
      <c r="N178" s="19"/>
      <c r="O178" s="19"/>
    </row>
    <row r="179" spans="1:15" hidden="1" x14ac:dyDescent="0.3">
      <c r="A179" s="19"/>
      <c r="B179" s="19"/>
      <c r="C179" s="19"/>
      <c r="D179" s="19"/>
      <c r="E179" s="19"/>
      <c r="F179" s="19"/>
      <c r="G179" s="19"/>
      <c r="I179" s="19"/>
      <c r="J179" s="19"/>
      <c r="K179" s="19"/>
      <c r="L179" s="19"/>
      <c r="M179" s="19"/>
      <c r="N179" s="19"/>
      <c r="O179" s="19"/>
    </row>
    <row r="180" spans="1:15" hidden="1" x14ac:dyDescent="0.3">
      <c r="A180" s="19"/>
      <c r="B180" s="19"/>
      <c r="C180" s="19"/>
      <c r="D180" s="19"/>
      <c r="E180" s="19"/>
      <c r="F180" s="19"/>
      <c r="G180" s="19"/>
      <c r="I180" s="19"/>
      <c r="J180" s="19"/>
      <c r="K180" s="19"/>
      <c r="L180" s="19"/>
      <c r="M180" s="19"/>
      <c r="N180" s="19"/>
      <c r="O180" s="19"/>
    </row>
    <row r="181" spans="1:15" hidden="1" x14ac:dyDescent="0.3">
      <c r="A181" s="19"/>
      <c r="B181" s="19"/>
      <c r="C181" s="19"/>
      <c r="D181" s="19"/>
      <c r="E181" s="19"/>
      <c r="F181" s="19"/>
      <c r="G181" s="19"/>
      <c r="I181" s="19"/>
      <c r="J181" s="19"/>
      <c r="K181" s="19"/>
      <c r="L181" s="19"/>
      <c r="M181" s="19"/>
      <c r="N181" s="19"/>
      <c r="O181" s="19"/>
    </row>
    <row r="182" spans="1:15" hidden="1" x14ac:dyDescent="0.3">
      <c r="A182" s="19"/>
      <c r="B182" s="19"/>
      <c r="C182" s="19"/>
      <c r="D182" s="19"/>
      <c r="E182" s="19"/>
      <c r="F182" s="19"/>
      <c r="G182" s="19"/>
      <c r="I182" s="19"/>
      <c r="J182" s="19"/>
      <c r="K182" s="19"/>
      <c r="L182" s="19"/>
      <c r="M182" s="19"/>
      <c r="N182" s="19"/>
      <c r="O182" s="19"/>
    </row>
    <row r="183" spans="1:15" hidden="1" x14ac:dyDescent="0.3">
      <c r="A183" s="19"/>
      <c r="B183" s="19"/>
      <c r="C183" s="19"/>
      <c r="D183" s="19"/>
      <c r="E183" s="19"/>
      <c r="F183" s="19"/>
      <c r="G183" s="19"/>
      <c r="I183" s="19"/>
      <c r="J183" s="19"/>
      <c r="K183" s="19"/>
      <c r="L183" s="19"/>
      <c r="M183" s="19"/>
      <c r="N183" s="19"/>
      <c r="O183" s="19"/>
    </row>
    <row r="184" spans="1:15" hidden="1" x14ac:dyDescent="0.3">
      <c r="A184" s="19"/>
      <c r="B184" s="19"/>
      <c r="C184" s="19"/>
      <c r="D184" s="19"/>
      <c r="E184" s="19"/>
      <c r="F184" s="19"/>
      <c r="G184" s="19"/>
      <c r="I184" s="19"/>
      <c r="J184" s="19"/>
      <c r="K184" s="19"/>
      <c r="L184" s="19"/>
      <c r="M184" s="19"/>
      <c r="N184" s="19"/>
      <c r="O184" s="19"/>
    </row>
    <row r="185" spans="1:15" hidden="1" x14ac:dyDescent="0.3">
      <c r="A185" s="19"/>
      <c r="B185" s="19"/>
      <c r="C185" s="19"/>
      <c r="D185" s="19"/>
      <c r="E185" s="19"/>
      <c r="F185" s="19"/>
      <c r="G185" s="19"/>
      <c r="I185" s="19"/>
      <c r="J185" s="19"/>
      <c r="K185" s="19"/>
      <c r="L185" s="19"/>
      <c r="M185" s="19"/>
      <c r="N185" s="19"/>
      <c r="O185" s="19"/>
    </row>
    <row r="186" spans="1:15" hidden="1" x14ac:dyDescent="0.3">
      <c r="A186" s="19"/>
      <c r="B186" s="19"/>
      <c r="C186" s="19"/>
      <c r="D186" s="19"/>
      <c r="E186" s="19"/>
      <c r="F186" s="19"/>
      <c r="G186" s="19"/>
      <c r="I186" s="19"/>
      <c r="J186" s="19"/>
      <c r="K186" s="19"/>
      <c r="L186" s="19"/>
      <c r="M186" s="19"/>
      <c r="N186" s="19"/>
      <c r="O186" s="19"/>
    </row>
    <row r="187" spans="1:15" hidden="1" x14ac:dyDescent="0.3">
      <c r="A187" s="19"/>
      <c r="B187" s="19"/>
      <c r="C187" s="19"/>
      <c r="D187" s="19"/>
      <c r="E187" s="19"/>
      <c r="F187" s="19"/>
      <c r="G187" s="19"/>
      <c r="I187" s="19"/>
      <c r="J187" s="19"/>
      <c r="K187" s="19"/>
      <c r="L187" s="19"/>
      <c r="M187" s="19"/>
      <c r="N187" s="19"/>
      <c r="O187" s="19"/>
    </row>
    <row r="188" spans="1:15" hidden="1" x14ac:dyDescent="0.3">
      <c r="A188" s="19"/>
      <c r="B188" s="19"/>
      <c r="C188" s="19"/>
      <c r="D188" s="19"/>
      <c r="E188" s="19"/>
      <c r="F188" s="19"/>
      <c r="G188" s="19"/>
      <c r="I188" s="19"/>
      <c r="J188" s="19"/>
      <c r="K188" s="19"/>
      <c r="L188" s="19"/>
      <c r="M188" s="19"/>
      <c r="N188" s="19"/>
      <c r="O188" s="19"/>
    </row>
    <row r="189" spans="1:15" hidden="1" x14ac:dyDescent="0.3">
      <c r="A189" s="19"/>
      <c r="B189" s="19"/>
      <c r="C189" s="19"/>
      <c r="D189" s="19"/>
      <c r="E189" s="19"/>
      <c r="F189" s="19"/>
      <c r="G189" s="19"/>
      <c r="I189" s="19"/>
      <c r="J189" s="19"/>
      <c r="K189" s="19"/>
      <c r="L189" s="19"/>
      <c r="M189" s="19"/>
      <c r="N189" s="19"/>
      <c r="O189" s="19"/>
    </row>
    <row r="190" spans="1:15" hidden="1" x14ac:dyDescent="0.3">
      <c r="A190" s="19"/>
      <c r="B190" s="19"/>
      <c r="C190" s="19"/>
      <c r="D190" s="19"/>
      <c r="E190" s="19"/>
      <c r="F190" s="19"/>
      <c r="G190" s="19"/>
      <c r="I190" s="19"/>
      <c r="J190" s="19"/>
      <c r="K190" s="19"/>
      <c r="L190" s="19"/>
      <c r="M190" s="19"/>
      <c r="N190" s="19"/>
      <c r="O190" s="19"/>
    </row>
    <row r="191" spans="1:15" hidden="1" x14ac:dyDescent="0.3">
      <c r="A191" s="19"/>
      <c r="B191" s="19"/>
      <c r="C191" s="19"/>
      <c r="D191" s="19"/>
      <c r="E191" s="19"/>
      <c r="F191" s="19"/>
      <c r="G191" s="19"/>
      <c r="I191" s="19"/>
      <c r="J191" s="19"/>
      <c r="K191" s="19"/>
      <c r="L191" s="19"/>
      <c r="M191" s="19"/>
      <c r="N191" s="19"/>
      <c r="O191" s="19"/>
    </row>
    <row r="192" spans="1:15" hidden="1" x14ac:dyDescent="0.3">
      <c r="A192" s="19"/>
      <c r="B192" s="19"/>
      <c r="C192" s="19"/>
      <c r="D192" s="19"/>
      <c r="E192" s="19"/>
      <c r="F192" s="19"/>
      <c r="G192" s="19"/>
      <c r="I192" s="19"/>
      <c r="J192" s="19"/>
      <c r="K192" s="19"/>
      <c r="L192" s="19"/>
      <c r="M192" s="19"/>
      <c r="N192" s="19"/>
      <c r="O192" s="19"/>
    </row>
    <row r="193" spans="1:15" hidden="1" x14ac:dyDescent="0.3">
      <c r="A193" s="19"/>
      <c r="B193" s="19"/>
      <c r="C193" s="19"/>
      <c r="D193" s="19"/>
      <c r="E193" s="19"/>
      <c r="F193" s="19"/>
      <c r="G193" s="19"/>
      <c r="I193" s="19"/>
      <c r="J193" s="19"/>
      <c r="K193" s="19"/>
      <c r="L193" s="19"/>
      <c r="M193" s="19"/>
      <c r="N193" s="19"/>
      <c r="O193" s="19"/>
    </row>
    <row r="194" spans="1:15" hidden="1" x14ac:dyDescent="0.3">
      <c r="A194" s="19"/>
      <c r="B194" s="19"/>
      <c r="C194" s="19"/>
      <c r="D194" s="19"/>
      <c r="E194" s="19"/>
      <c r="F194" s="19"/>
      <c r="G194" s="19"/>
      <c r="I194" s="19"/>
      <c r="J194" s="19"/>
      <c r="K194" s="19"/>
      <c r="L194" s="19"/>
      <c r="M194" s="19"/>
      <c r="N194" s="19"/>
      <c r="O194" s="19"/>
    </row>
    <row r="195" spans="1:15" hidden="1" x14ac:dyDescent="0.3">
      <c r="A195" s="19"/>
      <c r="B195" s="19"/>
      <c r="C195" s="19"/>
      <c r="D195" s="19"/>
      <c r="E195" s="19"/>
      <c r="F195" s="19"/>
      <c r="G195" s="19"/>
      <c r="I195" s="19"/>
      <c r="J195" s="19"/>
      <c r="K195" s="19"/>
      <c r="L195" s="19"/>
      <c r="M195" s="19"/>
      <c r="N195" s="19"/>
      <c r="O195" s="19"/>
    </row>
    <row r="196" spans="1:15" hidden="1" x14ac:dyDescent="0.3">
      <c r="A196" s="19"/>
      <c r="B196" s="19"/>
      <c r="C196" s="19"/>
      <c r="D196" s="19"/>
      <c r="E196" s="19"/>
      <c r="F196" s="19"/>
      <c r="G196" s="19"/>
      <c r="I196" s="19"/>
      <c r="J196" s="19"/>
      <c r="K196" s="19"/>
      <c r="L196" s="19"/>
      <c r="M196" s="19"/>
      <c r="N196" s="19"/>
      <c r="O196" s="19"/>
    </row>
    <row r="197" spans="1:15" hidden="1" x14ac:dyDescent="0.3">
      <c r="A197" s="19"/>
      <c r="B197" s="19"/>
      <c r="C197" s="19"/>
      <c r="D197" s="19"/>
      <c r="E197" s="19"/>
      <c r="F197" s="19"/>
      <c r="G197" s="19"/>
      <c r="I197" s="19"/>
      <c r="J197" s="19"/>
      <c r="K197" s="19"/>
      <c r="L197" s="19"/>
      <c r="M197" s="19"/>
      <c r="N197" s="19"/>
      <c r="O197" s="19"/>
    </row>
    <row r="198" spans="1:15" hidden="1" x14ac:dyDescent="0.3">
      <c r="A198" s="19"/>
      <c r="B198" s="19"/>
      <c r="C198" s="19"/>
      <c r="D198" s="19"/>
      <c r="E198" s="19"/>
      <c r="F198" s="19"/>
      <c r="G198" s="19"/>
      <c r="I198" s="19"/>
      <c r="J198" s="19"/>
      <c r="K198" s="19"/>
      <c r="L198" s="19"/>
      <c r="M198" s="19"/>
      <c r="N198" s="19"/>
      <c r="O198" s="19"/>
    </row>
    <row r="199" spans="1:15" hidden="1" x14ac:dyDescent="0.3">
      <c r="A199" s="19"/>
      <c r="B199" s="19"/>
      <c r="C199" s="19"/>
      <c r="D199" s="19"/>
      <c r="E199" s="19"/>
      <c r="F199" s="19"/>
      <c r="G199" s="19"/>
      <c r="I199" s="19"/>
      <c r="J199" s="19"/>
      <c r="K199" s="19"/>
      <c r="L199" s="19"/>
      <c r="M199" s="19"/>
      <c r="N199" s="19"/>
      <c r="O199" s="19"/>
    </row>
    <row r="200" spans="1:15" hidden="1" x14ac:dyDescent="0.3">
      <c r="A200" s="19"/>
      <c r="B200" s="19"/>
      <c r="C200" s="19"/>
      <c r="D200" s="19"/>
      <c r="E200" s="19"/>
      <c r="F200" s="19"/>
      <c r="G200" s="19"/>
      <c r="I200" s="19"/>
      <c r="J200" s="19"/>
      <c r="K200" s="19"/>
      <c r="L200" s="19"/>
      <c r="M200" s="19"/>
      <c r="N200" s="19"/>
      <c r="O200" s="19"/>
    </row>
    <row r="201" spans="1:15" hidden="1" x14ac:dyDescent="0.3">
      <c r="A201" s="19"/>
      <c r="B201" s="19"/>
      <c r="C201" s="19"/>
      <c r="D201" s="19"/>
      <c r="E201" s="19"/>
      <c r="F201" s="19"/>
      <c r="G201" s="19"/>
      <c r="I201" s="19"/>
      <c r="J201" s="19"/>
      <c r="K201" s="19"/>
      <c r="L201" s="19"/>
      <c r="M201" s="19"/>
      <c r="N201" s="19"/>
      <c r="O201" s="19"/>
    </row>
    <row r="202" spans="1:15" hidden="1" x14ac:dyDescent="0.3">
      <c r="A202" s="19"/>
      <c r="B202" s="19"/>
      <c r="C202" s="19"/>
      <c r="D202" s="19"/>
      <c r="E202" s="19"/>
      <c r="F202" s="19"/>
      <c r="G202" s="19"/>
      <c r="I202" s="19"/>
      <c r="J202" s="19"/>
      <c r="K202" s="19"/>
      <c r="L202" s="19"/>
      <c r="M202" s="19"/>
      <c r="N202" s="19"/>
      <c r="O202" s="19"/>
    </row>
    <row r="203" spans="1:15" hidden="1" x14ac:dyDescent="0.3">
      <c r="A203" s="19"/>
      <c r="B203" s="19"/>
      <c r="C203" s="19"/>
      <c r="D203" s="19"/>
      <c r="E203" s="19"/>
      <c r="F203" s="19"/>
      <c r="G203" s="19"/>
      <c r="I203" s="19"/>
      <c r="J203" s="19"/>
      <c r="K203" s="19"/>
      <c r="L203" s="19"/>
      <c r="M203" s="19"/>
      <c r="N203" s="19"/>
      <c r="O203" s="19"/>
    </row>
    <row r="204" spans="1:15" hidden="1" x14ac:dyDescent="0.3">
      <c r="A204" s="19"/>
      <c r="B204" s="19"/>
      <c r="C204" s="19"/>
      <c r="D204" s="19"/>
      <c r="E204" s="19"/>
      <c r="F204" s="19"/>
      <c r="G204" s="19"/>
      <c r="I204" s="19"/>
      <c r="J204" s="19"/>
      <c r="K204" s="19"/>
      <c r="L204" s="19"/>
      <c r="M204" s="19"/>
      <c r="N204" s="19"/>
      <c r="O204" s="19"/>
    </row>
    <row r="205" spans="1:15" hidden="1" x14ac:dyDescent="0.3">
      <c r="A205" s="19"/>
      <c r="B205" s="19"/>
      <c r="C205" s="19"/>
      <c r="D205" s="19"/>
      <c r="E205" s="19"/>
      <c r="F205" s="19"/>
      <c r="G205" s="19"/>
      <c r="I205" s="19"/>
      <c r="J205" s="19"/>
      <c r="K205" s="19"/>
      <c r="L205" s="19"/>
      <c r="M205" s="19"/>
      <c r="N205" s="19"/>
      <c r="O205" s="19"/>
    </row>
    <row r="206" spans="1:15" hidden="1" x14ac:dyDescent="0.3">
      <c r="A206" s="19"/>
      <c r="B206" s="19"/>
      <c r="C206" s="19"/>
      <c r="D206" s="19"/>
      <c r="E206" s="19"/>
      <c r="F206" s="19"/>
      <c r="G206" s="19"/>
      <c r="I206" s="19"/>
      <c r="J206" s="19"/>
      <c r="K206" s="19"/>
      <c r="L206" s="19"/>
      <c r="M206" s="19"/>
      <c r="N206" s="19"/>
      <c r="O206" s="19"/>
    </row>
    <row r="207" spans="1:15" hidden="1" x14ac:dyDescent="0.3">
      <c r="A207" s="19"/>
      <c r="B207" s="19"/>
      <c r="C207" s="19"/>
      <c r="D207" s="19"/>
      <c r="E207" s="19"/>
      <c r="F207" s="19"/>
      <c r="G207" s="19"/>
      <c r="I207" s="19"/>
      <c r="J207" s="19"/>
      <c r="K207" s="19"/>
      <c r="L207" s="19"/>
      <c r="M207" s="19"/>
      <c r="N207" s="19"/>
      <c r="O207" s="19"/>
    </row>
    <row r="208" spans="1:15" hidden="1" x14ac:dyDescent="0.3">
      <c r="A208" s="19"/>
      <c r="B208" s="19"/>
      <c r="C208" s="19"/>
      <c r="D208" s="19"/>
      <c r="E208" s="19"/>
      <c r="F208" s="19"/>
      <c r="G208" s="19"/>
      <c r="I208" s="19"/>
      <c r="J208" s="19"/>
      <c r="K208" s="19"/>
      <c r="L208" s="19"/>
      <c r="M208" s="19"/>
      <c r="N208" s="19"/>
      <c r="O208" s="19"/>
    </row>
    <row r="209" spans="1:15" hidden="1" x14ac:dyDescent="0.3">
      <c r="A209" s="19"/>
      <c r="B209" s="19"/>
      <c r="C209" s="19"/>
      <c r="D209" s="19"/>
      <c r="E209" s="19"/>
      <c r="F209" s="19"/>
      <c r="G209" s="19"/>
      <c r="I209" s="19"/>
      <c r="J209" s="19"/>
      <c r="K209" s="19"/>
      <c r="L209" s="19"/>
      <c r="M209" s="19"/>
      <c r="N209" s="19"/>
      <c r="O209" s="19"/>
    </row>
    <row r="210" spans="1:15" hidden="1" x14ac:dyDescent="0.3">
      <c r="A210" s="19"/>
      <c r="B210" s="19"/>
      <c r="C210" s="19"/>
      <c r="D210" s="19"/>
      <c r="E210" s="19"/>
      <c r="F210" s="19"/>
      <c r="G210" s="19"/>
      <c r="I210" s="19"/>
      <c r="J210" s="19"/>
      <c r="K210" s="19"/>
      <c r="L210" s="19"/>
      <c r="M210" s="19"/>
      <c r="N210" s="19"/>
      <c r="O210" s="19"/>
    </row>
    <row r="211" spans="1:15" hidden="1" x14ac:dyDescent="0.3">
      <c r="A211" s="19"/>
      <c r="B211" s="19"/>
      <c r="C211" s="19"/>
      <c r="D211" s="19"/>
      <c r="E211" s="19"/>
      <c r="F211" s="19"/>
      <c r="G211" s="19"/>
      <c r="I211" s="19"/>
      <c r="J211" s="19"/>
      <c r="K211" s="19"/>
      <c r="L211" s="19"/>
      <c r="M211" s="19"/>
      <c r="N211" s="19"/>
      <c r="O211" s="19"/>
    </row>
    <row r="212" spans="1:15" hidden="1" x14ac:dyDescent="0.3">
      <c r="A212" s="19"/>
      <c r="B212" s="19"/>
      <c r="C212" s="19"/>
      <c r="D212" s="19"/>
      <c r="E212" s="19"/>
      <c r="F212" s="19"/>
      <c r="G212" s="19"/>
      <c r="I212" s="19"/>
      <c r="J212" s="19"/>
      <c r="K212" s="19"/>
      <c r="L212" s="19"/>
      <c r="M212" s="19"/>
      <c r="N212" s="19"/>
      <c r="O212" s="19"/>
    </row>
    <row r="213" spans="1:15" hidden="1" x14ac:dyDescent="0.3">
      <c r="A213" s="19"/>
      <c r="B213" s="19"/>
      <c r="C213" s="19"/>
      <c r="D213" s="19"/>
      <c r="E213" s="19"/>
      <c r="F213" s="19"/>
      <c r="G213" s="19"/>
      <c r="I213" s="19"/>
      <c r="J213" s="19"/>
      <c r="K213" s="19"/>
      <c r="L213" s="19"/>
      <c r="M213" s="19"/>
      <c r="N213" s="19"/>
      <c r="O213" s="19"/>
    </row>
    <row r="214" spans="1:15" hidden="1" x14ac:dyDescent="0.3">
      <c r="A214" s="19"/>
      <c r="B214" s="19"/>
      <c r="C214" s="19"/>
      <c r="D214" s="19"/>
      <c r="E214" s="19"/>
      <c r="F214" s="19"/>
      <c r="G214" s="19"/>
      <c r="I214" s="19"/>
      <c r="J214" s="19"/>
      <c r="K214" s="19"/>
      <c r="L214" s="19"/>
      <c r="M214" s="19"/>
      <c r="N214" s="19"/>
      <c r="O214" s="19"/>
    </row>
    <row r="215" spans="1:15" hidden="1" x14ac:dyDescent="0.3">
      <c r="A215" s="19"/>
      <c r="B215" s="19"/>
      <c r="C215" s="19"/>
      <c r="D215" s="19"/>
      <c r="E215" s="19"/>
      <c r="F215" s="19"/>
      <c r="G215" s="19"/>
      <c r="I215" s="19"/>
      <c r="J215" s="19"/>
      <c r="K215" s="19"/>
      <c r="L215" s="19"/>
      <c r="M215" s="19"/>
      <c r="N215" s="19"/>
      <c r="O215" s="19"/>
    </row>
    <row r="216" spans="1:15" hidden="1" x14ac:dyDescent="0.3">
      <c r="A216" s="19"/>
      <c r="B216" s="19"/>
      <c r="C216" s="19"/>
      <c r="D216" s="19"/>
      <c r="E216" s="19"/>
      <c r="F216" s="19"/>
      <c r="G216" s="19"/>
      <c r="I216" s="19"/>
      <c r="J216" s="19"/>
      <c r="K216" s="19"/>
      <c r="L216" s="19"/>
      <c r="M216" s="19"/>
      <c r="N216" s="19"/>
      <c r="O216" s="19"/>
    </row>
    <row r="217" spans="1:15" hidden="1" x14ac:dyDescent="0.3">
      <c r="A217" s="19"/>
      <c r="B217" s="19"/>
      <c r="C217" s="19"/>
      <c r="D217" s="19"/>
      <c r="E217" s="19"/>
      <c r="F217" s="19"/>
      <c r="G217" s="19"/>
      <c r="I217" s="19"/>
      <c r="J217" s="19"/>
      <c r="K217" s="19"/>
      <c r="L217" s="19"/>
      <c r="M217" s="19"/>
      <c r="N217" s="19"/>
      <c r="O217" s="19"/>
    </row>
    <row r="218" spans="1:15" hidden="1" x14ac:dyDescent="0.3">
      <c r="A218" s="19"/>
      <c r="B218" s="19"/>
      <c r="C218" s="19"/>
      <c r="D218" s="19"/>
      <c r="E218" s="19"/>
      <c r="F218" s="19"/>
      <c r="G218" s="19"/>
      <c r="I218" s="19"/>
      <c r="J218" s="19"/>
      <c r="K218" s="19"/>
      <c r="L218" s="19"/>
      <c r="M218" s="19"/>
      <c r="N218" s="19"/>
      <c r="O218" s="19"/>
    </row>
    <row r="219" spans="1:15" hidden="1" x14ac:dyDescent="0.3">
      <c r="A219" s="19"/>
      <c r="B219" s="19"/>
      <c r="C219" s="19"/>
      <c r="D219" s="19"/>
      <c r="E219" s="19"/>
      <c r="F219" s="19"/>
      <c r="G219" s="19"/>
      <c r="I219" s="19"/>
      <c r="J219" s="19"/>
      <c r="K219" s="19"/>
      <c r="L219" s="19"/>
      <c r="M219" s="19"/>
      <c r="N219" s="19"/>
      <c r="O219" s="19"/>
    </row>
    <row r="220" spans="1:15" hidden="1" x14ac:dyDescent="0.3">
      <c r="A220" s="19"/>
      <c r="B220" s="19"/>
      <c r="C220" s="19"/>
      <c r="D220" s="19"/>
      <c r="E220" s="19"/>
      <c r="F220" s="19"/>
      <c r="G220" s="19"/>
      <c r="I220" s="19"/>
      <c r="J220" s="19"/>
      <c r="K220" s="19"/>
      <c r="L220" s="19"/>
      <c r="M220" s="19"/>
      <c r="N220" s="19"/>
      <c r="O220" s="19"/>
    </row>
    <row r="221" spans="1:15" hidden="1" x14ac:dyDescent="0.3">
      <c r="A221" s="19"/>
      <c r="B221" s="19"/>
      <c r="C221" s="19"/>
      <c r="D221" s="19"/>
      <c r="E221" s="19"/>
      <c r="F221" s="19"/>
      <c r="G221" s="19"/>
      <c r="I221" s="19"/>
      <c r="J221" s="19"/>
      <c r="K221" s="19"/>
      <c r="L221" s="19"/>
      <c r="M221" s="19"/>
      <c r="N221" s="19"/>
      <c r="O221" s="19"/>
    </row>
    <row r="222" spans="1:15" hidden="1" x14ac:dyDescent="0.3">
      <c r="A222" s="19"/>
      <c r="B222" s="19"/>
      <c r="C222" s="19"/>
      <c r="D222" s="19"/>
      <c r="E222" s="19"/>
      <c r="F222" s="19"/>
      <c r="G222" s="19"/>
      <c r="I222" s="19"/>
      <c r="J222" s="19"/>
      <c r="K222" s="19"/>
      <c r="L222" s="19"/>
      <c r="M222" s="19"/>
      <c r="N222" s="19"/>
      <c r="O222" s="19"/>
    </row>
    <row r="223" spans="1:15" hidden="1" x14ac:dyDescent="0.3">
      <c r="A223" s="19"/>
      <c r="B223" s="19"/>
      <c r="C223" s="19"/>
      <c r="D223" s="19"/>
      <c r="E223" s="19"/>
      <c r="F223" s="19"/>
      <c r="G223" s="19"/>
      <c r="I223" s="19"/>
      <c r="J223" s="19"/>
      <c r="K223" s="19"/>
      <c r="L223" s="19"/>
      <c r="M223" s="19"/>
      <c r="N223" s="19"/>
      <c r="O223" s="19"/>
    </row>
    <row r="224" spans="1:15" hidden="1" x14ac:dyDescent="0.3">
      <c r="A224" s="19"/>
      <c r="B224" s="19"/>
      <c r="C224" s="19"/>
      <c r="D224" s="19"/>
      <c r="E224" s="19"/>
      <c r="F224" s="19"/>
      <c r="G224" s="19"/>
      <c r="I224" s="19"/>
      <c r="J224" s="19"/>
      <c r="K224" s="19"/>
      <c r="L224" s="19"/>
      <c r="M224" s="19"/>
      <c r="N224" s="19"/>
      <c r="O224" s="19"/>
    </row>
    <row r="225" spans="1:15" hidden="1" x14ac:dyDescent="0.3">
      <c r="A225" s="19"/>
      <c r="B225" s="19"/>
      <c r="C225" s="19"/>
      <c r="D225" s="19"/>
      <c r="E225" s="19"/>
      <c r="F225" s="19"/>
      <c r="G225" s="19"/>
      <c r="I225" s="19"/>
      <c r="J225" s="19"/>
      <c r="K225" s="19"/>
      <c r="L225" s="19"/>
      <c r="M225" s="19"/>
      <c r="N225" s="19"/>
      <c r="O225" s="19"/>
    </row>
    <row r="226" spans="1:15" hidden="1" x14ac:dyDescent="0.3">
      <c r="A226" s="19"/>
      <c r="B226" s="19"/>
      <c r="C226" s="19"/>
      <c r="D226" s="19"/>
      <c r="E226" s="19"/>
      <c r="F226" s="19"/>
      <c r="G226" s="19"/>
      <c r="I226" s="19"/>
      <c r="J226" s="19"/>
      <c r="K226" s="19"/>
      <c r="L226" s="19"/>
      <c r="M226" s="19"/>
      <c r="N226" s="19"/>
      <c r="O226" s="19"/>
    </row>
    <row r="227" spans="1:15" hidden="1" x14ac:dyDescent="0.3">
      <c r="A227" s="19"/>
      <c r="B227" s="19"/>
      <c r="C227" s="19"/>
      <c r="D227" s="19"/>
      <c r="E227" s="19"/>
      <c r="F227" s="19"/>
      <c r="G227" s="19"/>
      <c r="I227" s="19"/>
      <c r="J227" s="19"/>
      <c r="K227" s="19"/>
      <c r="L227" s="19"/>
      <c r="M227" s="19"/>
      <c r="N227" s="19"/>
      <c r="O227" s="19"/>
    </row>
    <row r="228" spans="1:15" hidden="1" x14ac:dyDescent="0.3">
      <c r="A228" s="19"/>
      <c r="B228" s="19"/>
      <c r="C228" s="19"/>
      <c r="D228" s="19"/>
      <c r="E228" s="19"/>
      <c r="F228" s="19"/>
      <c r="G228" s="19"/>
      <c r="I228" s="19"/>
      <c r="J228" s="19"/>
      <c r="K228" s="19"/>
      <c r="L228" s="19"/>
      <c r="M228" s="19"/>
      <c r="N228" s="19"/>
      <c r="O228" s="19"/>
    </row>
    <row r="229" spans="1:15" hidden="1" x14ac:dyDescent="0.3">
      <c r="A229" s="19"/>
      <c r="B229" s="19"/>
      <c r="C229" s="19"/>
      <c r="D229" s="19"/>
      <c r="E229" s="19"/>
      <c r="F229" s="19"/>
      <c r="G229" s="19"/>
      <c r="I229" s="19"/>
      <c r="J229" s="19"/>
      <c r="K229" s="19"/>
      <c r="L229" s="19"/>
      <c r="M229" s="19"/>
      <c r="N229" s="19"/>
      <c r="O229" s="19"/>
    </row>
    <row r="230" spans="1:15" hidden="1" x14ac:dyDescent="0.3">
      <c r="A230" s="19"/>
      <c r="B230" s="19"/>
      <c r="C230" s="19"/>
      <c r="D230" s="19"/>
      <c r="E230" s="19"/>
      <c r="F230" s="19"/>
      <c r="G230" s="19"/>
      <c r="I230" s="19"/>
      <c r="J230" s="19"/>
      <c r="K230" s="19"/>
      <c r="L230" s="19"/>
      <c r="M230" s="19"/>
      <c r="N230" s="19"/>
      <c r="O230" s="19"/>
    </row>
    <row r="231" spans="1:15" hidden="1" x14ac:dyDescent="0.3">
      <c r="A231" s="19"/>
      <c r="B231" s="19"/>
      <c r="C231" s="19"/>
      <c r="D231" s="19"/>
      <c r="E231" s="19"/>
      <c r="F231" s="19"/>
      <c r="G231" s="19"/>
      <c r="I231" s="19"/>
      <c r="J231" s="19"/>
      <c r="K231" s="19"/>
      <c r="L231" s="19"/>
      <c r="M231" s="19"/>
      <c r="N231" s="19"/>
      <c r="O231" s="19"/>
    </row>
    <row r="232" spans="1:15" hidden="1" x14ac:dyDescent="0.3">
      <c r="A232" s="19"/>
      <c r="B232" s="19"/>
      <c r="C232" s="19"/>
      <c r="D232" s="19"/>
      <c r="E232" s="19"/>
      <c r="F232" s="19"/>
      <c r="G232" s="19"/>
      <c r="I232" s="19"/>
      <c r="J232" s="19"/>
      <c r="K232" s="19"/>
      <c r="L232" s="19"/>
      <c r="M232" s="19"/>
      <c r="N232" s="19"/>
      <c r="O232" s="19"/>
    </row>
    <row r="233" spans="1:15" hidden="1" x14ac:dyDescent="0.3">
      <c r="A233" s="19"/>
      <c r="B233" s="19"/>
      <c r="C233" s="19"/>
      <c r="D233" s="19"/>
      <c r="E233" s="19"/>
      <c r="F233" s="19"/>
      <c r="G233" s="19"/>
      <c r="I233" s="19"/>
      <c r="J233" s="19"/>
      <c r="K233" s="19"/>
      <c r="L233" s="19"/>
      <c r="M233" s="19"/>
      <c r="N233" s="19"/>
      <c r="O233" s="19"/>
    </row>
    <row r="234" spans="1:15" hidden="1" x14ac:dyDescent="0.3">
      <c r="A234" s="19"/>
      <c r="B234" s="19"/>
      <c r="C234" s="19"/>
      <c r="D234" s="19"/>
      <c r="E234" s="19"/>
      <c r="F234" s="19"/>
      <c r="G234" s="19"/>
      <c r="I234" s="19"/>
      <c r="J234" s="19"/>
      <c r="K234" s="19"/>
      <c r="L234" s="19"/>
      <c r="M234" s="19"/>
      <c r="N234" s="19"/>
      <c r="O234" s="19"/>
    </row>
    <row r="235" spans="1:15" hidden="1" x14ac:dyDescent="0.3">
      <c r="A235" s="19"/>
      <c r="B235" s="19"/>
      <c r="C235" s="19"/>
      <c r="D235" s="19"/>
      <c r="E235" s="19"/>
      <c r="F235" s="19"/>
      <c r="G235" s="19"/>
      <c r="I235" s="19"/>
      <c r="J235" s="19"/>
      <c r="K235" s="19"/>
      <c r="L235" s="19"/>
      <c r="M235" s="19"/>
      <c r="N235" s="19"/>
      <c r="O235" s="19"/>
    </row>
    <row r="236" spans="1:15" hidden="1" x14ac:dyDescent="0.3">
      <c r="A236" s="19"/>
      <c r="B236" s="19"/>
      <c r="C236" s="19"/>
      <c r="D236" s="19"/>
      <c r="E236" s="19"/>
      <c r="F236" s="19"/>
      <c r="G236" s="19"/>
      <c r="I236" s="19"/>
      <c r="J236" s="19"/>
      <c r="K236" s="19"/>
      <c r="L236" s="19"/>
      <c r="M236" s="19"/>
      <c r="N236" s="19"/>
      <c r="O236" s="19"/>
    </row>
    <row r="237" spans="1:15" hidden="1" x14ac:dyDescent="0.3">
      <c r="A237" s="19"/>
      <c r="B237" s="19"/>
      <c r="C237" s="19"/>
      <c r="D237" s="19"/>
      <c r="E237" s="19"/>
      <c r="F237" s="19"/>
      <c r="G237" s="19"/>
      <c r="I237" s="19"/>
      <c r="J237" s="19"/>
      <c r="K237" s="19"/>
      <c r="L237" s="19"/>
      <c r="M237" s="19"/>
      <c r="N237" s="19"/>
      <c r="O237" s="19"/>
    </row>
    <row r="238" spans="1:15" hidden="1" x14ac:dyDescent="0.3">
      <c r="A238" s="19"/>
      <c r="B238" s="19"/>
      <c r="C238" s="19"/>
      <c r="D238" s="19"/>
      <c r="E238" s="19"/>
      <c r="F238" s="19"/>
      <c r="G238" s="19"/>
      <c r="I238" s="19"/>
      <c r="J238" s="19"/>
      <c r="K238" s="19"/>
      <c r="L238" s="19"/>
      <c r="M238" s="19"/>
      <c r="N238" s="19"/>
      <c r="O238" s="19"/>
    </row>
    <row r="239" spans="1:15" hidden="1" x14ac:dyDescent="0.3">
      <c r="A239" s="19"/>
      <c r="B239" s="19"/>
      <c r="C239" s="19"/>
      <c r="D239" s="19"/>
      <c r="E239" s="19"/>
      <c r="F239" s="19"/>
      <c r="G239" s="19"/>
      <c r="I239" s="19"/>
      <c r="J239" s="19"/>
      <c r="K239" s="19"/>
      <c r="L239" s="19"/>
      <c r="M239" s="19"/>
      <c r="N239" s="19"/>
      <c r="O239" s="19"/>
    </row>
    <row r="240" spans="1:15" hidden="1" x14ac:dyDescent="0.3">
      <c r="A240" s="19"/>
      <c r="B240" s="19"/>
      <c r="C240" s="19"/>
      <c r="D240" s="19"/>
      <c r="E240" s="19"/>
      <c r="F240" s="19"/>
      <c r="G240" s="19"/>
      <c r="I240" s="19"/>
      <c r="J240" s="19"/>
      <c r="K240" s="19"/>
      <c r="L240" s="19"/>
      <c r="M240" s="19"/>
      <c r="N240" s="19"/>
      <c r="O240" s="19"/>
    </row>
    <row r="241" spans="1:15" hidden="1" x14ac:dyDescent="0.3">
      <c r="A241" s="19"/>
      <c r="B241" s="19"/>
      <c r="C241" s="19"/>
      <c r="D241" s="19"/>
      <c r="E241" s="19"/>
      <c r="F241" s="19"/>
      <c r="G241" s="19"/>
      <c r="I241" s="19"/>
      <c r="J241" s="19"/>
      <c r="K241" s="19"/>
      <c r="L241" s="19"/>
      <c r="M241" s="19"/>
      <c r="N241" s="19"/>
      <c r="O241" s="19"/>
    </row>
    <row r="242" spans="1:15" hidden="1" x14ac:dyDescent="0.3">
      <c r="A242" s="19"/>
      <c r="B242" s="19"/>
      <c r="C242" s="19"/>
      <c r="D242" s="19"/>
      <c r="E242" s="19"/>
      <c r="F242" s="19"/>
      <c r="G242" s="19"/>
      <c r="I242" s="19"/>
      <c r="J242" s="19"/>
      <c r="K242" s="19"/>
      <c r="L242" s="19"/>
      <c r="M242" s="19"/>
      <c r="N242" s="19"/>
      <c r="O242" s="19"/>
    </row>
    <row r="243" spans="1:15" hidden="1" x14ac:dyDescent="0.3">
      <c r="A243" s="19"/>
      <c r="B243" s="19"/>
      <c r="C243" s="19"/>
      <c r="D243" s="19"/>
      <c r="E243" s="19"/>
      <c r="F243" s="19"/>
      <c r="G243" s="19"/>
      <c r="I243" s="19"/>
      <c r="J243" s="19"/>
      <c r="K243" s="19"/>
      <c r="L243" s="19"/>
      <c r="M243" s="19"/>
      <c r="N243" s="19"/>
      <c r="O243" s="19"/>
    </row>
    <row r="244" spans="1:15" hidden="1" x14ac:dyDescent="0.3">
      <c r="A244" s="19"/>
      <c r="B244" s="19"/>
      <c r="C244" s="19"/>
      <c r="D244" s="19"/>
      <c r="E244" s="19"/>
      <c r="F244" s="19"/>
      <c r="G244" s="19"/>
      <c r="I244" s="19"/>
      <c r="J244" s="19"/>
      <c r="K244" s="19"/>
      <c r="L244" s="19"/>
      <c r="M244" s="19"/>
      <c r="N244" s="19"/>
      <c r="O244" s="19"/>
    </row>
    <row r="245" spans="1:15" hidden="1" x14ac:dyDescent="0.3">
      <c r="A245" s="19"/>
      <c r="B245" s="19"/>
      <c r="C245" s="19"/>
      <c r="D245" s="19"/>
      <c r="E245" s="19"/>
      <c r="F245" s="19"/>
      <c r="G245" s="19"/>
      <c r="I245" s="19"/>
      <c r="J245" s="19"/>
      <c r="K245" s="19"/>
      <c r="L245" s="19"/>
      <c r="M245" s="19"/>
      <c r="N245" s="19"/>
      <c r="O245" s="19"/>
    </row>
    <row r="246" spans="1:15" hidden="1" x14ac:dyDescent="0.3">
      <c r="A246" s="19"/>
      <c r="B246" s="19"/>
      <c r="C246" s="19"/>
      <c r="D246" s="19"/>
      <c r="E246" s="19"/>
      <c r="F246" s="19"/>
      <c r="G246" s="19"/>
      <c r="I246" s="19"/>
      <c r="J246" s="19"/>
      <c r="K246" s="19"/>
      <c r="L246" s="19"/>
      <c r="M246" s="19"/>
      <c r="N246" s="19"/>
      <c r="O246" s="19"/>
    </row>
    <row r="247" spans="1:15" hidden="1" x14ac:dyDescent="0.3">
      <c r="A247" s="19"/>
      <c r="B247" s="19"/>
      <c r="C247" s="19"/>
      <c r="D247" s="19"/>
      <c r="E247" s="19"/>
      <c r="F247" s="19"/>
      <c r="G247" s="19"/>
      <c r="I247" s="19"/>
      <c r="J247" s="19"/>
      <c r="K247" s="19"/>
      <c r="L247" s="19"/>
      <c r="M247" s="19"/>
      <c r="N247" s="19"/>
      <c r="O247" s="19"/>
    </row>
    <row r="248" spans="1:15" hidden="1" x14ac:dyDescent="0.3">
      <c r="A248" s="19"/>
      <c r="B248" s="19"/>
      <c r="C248" s="19"/>
      <c r="D248" s="19"/>
      <c r="E248" s="19"/>
      <c r="F248" s="19"/>
      <c r="G248" s="19"/>
      <c r="I248" s="19"/>
      <c r="J248" s="19"/>
      <c r="K248" s="19"/>
      <c r="L248" s="19"/>
      <c r="M248" s="19"/>
      <c r="N248" s="19"/>
      <c r="O248" s="19"/>
    </row>
    <row r="249" spans="1:15" hidden="1" x14ac:dyDescent="0.3">
      <c r="A249" s="19"/>
      <c r="B249" s="19"/>
      <c r="C249" s="19"/>
      <c r="D249" s="19"/>
      <c r="E249" s="19"/>
      <c r="F249" s="19"/>
      <c r="G249" s="19"/>
      <c r="I249" s="19"/>
      <c r="J249" s="19"/>
      <c r="K249" s="19"/>
      <c r="L249" s="19"/>
      <c r="M249" s="19"/>
      <c r="N249" s="19"/>
      <c r="O249" s="19"/>
    </row>
    <row r="250" spans="1:15" hidden="1" x14ac:dyDescent="0.3">
      <c r="A250" s="19"/>
      <c r="B250" s="19"/>
      <c r="C250" s="19"/>
      <c r="D250" s="19"/>
      <c r="E250" s="19"/>
      <c r="F250" s="19"/>
      <c r="G250" s="19"/>
      <c r="I250" s="19"/>
      <c r="J250" s="19"/>
      <c r="K250" s="19"/>
      <c r="L250" s="19"/>
      <c r="M250" s="19"/>
      <c r="N250" s="19"/>
      <c r="O250" s="19"/>
    </row>
    <row r="251" spans="1:15" hidden="1" x14ac:dyDescent="0.3">
      <c r="A251" s="19"/>
      <c r="B251" s="19"/>
      <c r="C251" s="19"/>
      <c r="D251" s="19"/>
      <c r="E251" s="19"/>
      <c r="F251" s="19"/>
      <c r="G251" s="19"/>
      <c r="I251" s="19"/>
      <c r="J251" s="19"/>
      <c r="K251" s="19"/>
      <c r="L251" s="19"/>
      <c r="M251" s="19"/>
      <c r="N251" s="19"/>
      <c r="O251" s="19"/>
    </row>
    <row r="252" spans="1:15" hidden="1" x14ac:dyDescent="0.3">
      <c r="A252" s="19"/>
      <c r="B252" s="19"/>
      <c r="C252" s="19"/>
      <c r="D252" s="19"/>
      <c r="E252" s="19"/>
      <c r="F252" s="19"/>
      <c r="G252" s="19"/>
      <c r="I252" s="19"/>
      <c r="J252" s="19"/>
      <c r="K252" s="19"/>
      <c r="L252" s="19"/>
      <c r="M252" s="19"/>
      <c r="N252" s="19"/>
      <c r="O252" s="19"/>
    </row>
    <row r="253" spans="1:15" hidden="1" x14ac:dyDescent="0.3">
      <c r="A253" s="19"/>
      <c r="B253" s="19"/>
      <c r="C253" s="19"/>
      <c r="D253" s="19"/>
      <c r="E253" s="19"/>
      <c r="F253" s="19"/>
      <c r="G253" s="19"/>
      <c r="I253" s="19"/>
      <c r="J253" s="19"/>
      <c r="K253" s="19"/>
      <c r="L253" s="19"/>
      <c r="M253" s="19"/>
      <c r="N253" s="19"/>
      <c r="O253" s="19"/>
    </row>
    <row r="254" spans="1:15" hidden="1" x14ac:dyDescent="0.3">
      <c r="A254" s="19"/>
      <c r="B254" s="19"/>
      <c r="C254" s="19"/>
      <c r="D254" s="19"/>
      <c r="E254" s="19"/>
      <c r="F254" s="19"/>
      <c r="G254" s="19"/>
      <c r="I254" s="19"/>
      <c r="J254" s="19"/>
      <c r="K254" s="19"/>
      <c r="L254" s="19"/>
      <c r="M254" s="19"/>
      <c r="N254" s="19"/>
      <c r="O254" s="19"/>
    </row>
    <row r="255" spans="1:15" hidden="1" x14ac:dyDescent="0.3">
      <c r="A255" s="19"/>
      <c r="B255" s="19"/>
      <c r="C255" s="19"/>
      <c r="D255" s="19"/>
      <c r="E255" s="19"/>
      <c r="F255" s="19"/>
      <c r="G255" s="19"/>
      <c r="I255" s="19"/>
      <c r="J255" s="19"/>
      <c r="K255" s="19"/>
      <c r="L255" s="19"/>
      <c r="M255" s="19"/>
      <c r="N255" s="19"/>
      <c r="O255" s="19"/>
    </row>
    <row r="256" spans="1:15" hidden="1" x14ac:dyDescent="0.3">
      <c r="A256" s="19"/>
      <c r="B256" s="19"/>
      <c r="C256" s="19"/>
      <c r="D256" s="19"/>
      <c r="E256" s="19"/>
      <c r="F256" s="19"/>
      <c r="G256" s="19"/>
      <c r="I256" s="19"/>
      <c r="J256" s="19"/>
      <c r="K256" s="19"/>
      <c r="L256" s="19"/>
      <c r="M256" s="19"/>
      <c r="N256" s="19"/>
      <c r="O256" s="19"/>
    </row>
    <row r="257" spans="1:15" hidden="1" x14ac:dyDescent="0.3">
      <c r="A257" s="19"/>
      <c r="B257" s="19"/>
      <c r="C257" s="19"/>
      <c r="D257" s="19"/>
      <c r="E257" s="19"/>
      <c r="F257" s="19"/>
      <c r="G257" s="19"/>
      <c r="I257" s="19"/>
      <c r="J257" s="19"/>
      <c r="K257" s="19"/>
      <c r="L257" s="19"/>
      <c r="M257" s="19"/>
      <c r="N257" s="19"/>
      <c r="O257" s="19"/>
    </row>
    <row r="258" spans="1:15" hidden="1" x14ac:dyDescent="0.3">
      <c r="A258" s="19"/>
      <c r="B258" s="19"/>
      <c r="C258" s="19"/>
      <c r="D258" s="19"/>
      <c r="E258" s="19"/>
      <c r="F258" s="19"/>
      <c r="G258" s="19"/>
      <c r="I258" s="19"/>
      <c r="J258" s="19"/>
      <c r="K258" s="19"/>
      <c r="L258" s="19"/>
      <c r="M258" s="19"/>
      <c r="N258" s="19"/>
      <c r="O258" s="19"/>
    </row>
    <row r="259" spans="1:15" hidden="1" x14ac:dyDescent="0.3">
      <c r="A259" s="19"/>
      <c r="B259" s="19"/>
      <c r="C259" s="19"/>
      <c r="D259" s="19"/>
      <c r="E259" s="19"/>
      <c r="F259" s="19"/>
      <c r="G259" s="19"/>
      <c r="I259" s="19"/>
      <c r="J259" s="19"/>
      <c r="K259" s="19"/>
      <c r="L259" s="19"/>
      <c r="M259" s="19"/>
      <c r="N259" s="19"/>
      <c r="O259" s="19"/>
    </row>
    <row r="260" spans="1:15" hidden="1" x14ac:dyDescent="0.3">
      <c r="A260" s="19"/>
      <c r="B260" s="19"/>
      <c r="C260" s="19"/>
      <c r="D260" s="19"/>
      <c r="E260" s="19"/>
      <c r="F260" s="19"/>
      <c r="G260" s="19"/>
      <c r="I260" s="19"/>
      <c r="J260" s="19"/>
      <c r="K260" s="19"/>
      <c r="L260" s="19"/>
      <c r="M260" s="19"/>
      <c r="N260" s="19"/>
      <c r="O260" s="19"/>
    </row>
    <row r="261" spans="1:15" hidden="1" x14ac:dyDescent="0.3">
      <c r="A261" s="19"/>
      <c r="B261" s="19"/>
      <c r="C261" s="19"/>
      <c r="D261" s="19"/>
      <c r="E261" s="19"/>
      <c r="F261" s="19"/>
      <c r="G261" s="19"/>
      <c r="I261" s="19"/>
      <c r="J261" s="19"/>
      <c r="K261" s="19"/>
      <c r="L261" s="19"/>
      <c r="M261" s="19"/>
      <c r="N261" s="19"/>
      <c r="O261" s="19"/>
    </row>
    <row r="262" spans="1:15" hidden="1" x14ac:dyDescent="0.3">
      <c r="A262" s="19"/>
      <c r="B262" s="19"/>
      <c r="C262" s="19"/>
      <c r="D262" s="19"/>
      <c r="E262" s="19"/>
      <c r="F262" s="19"/>
      <c r="G262" s="19"/>
      <c r="I262" s="19"/>
      <c r="J262" s="19"/>
      <c r="K262" s="19"/>
      <c r="L262" s="19"/>
      <c r="M262" s="19"/>
      <c r="N262" s="19"/>
      <c r="O262" s="19"/>
    </row>
    <row r="263" spans="1:15" hidden="1" x14ac:dyDescent="0.3">
      <c r="A263" s="19"/>
      <c r="B263" s="19"/>
      <c r="C263" s="19"/>
      <c r="D263" s="19"/>
      <c r="E263" s="19"/>
      <c r="F263" s="19"/>
      <c r="G263" s="19"/>
      <c r="I263" s="19"/>
      <c r="J263" s="19"/>
      <c r="K263" s="19"/>
      <c r="L263" s="19"/>
      <c r="M263" s="19"/>
      <c r="N263" s="19"/>
      <c r="O263" s="19"/>
    </row>
    <row r="264" spans="1:15" hidden="1" x14ac:dyDescent="0.3">
      <c r="A264" s="19"/>
      <c r="B264" s="19"/>
      <c r="C264" s="19"/>
      <c r="D264" s="19"/>
      <c r="E264" s="19"/>
      <c r="F264" s="19"/>
      <c r="G264" s="19"/>
      <c r="I264" s="19"/>
      <c r="J264" s="19"/>
      <c r="K264" s="19"/>
      <c r="L264" s="19"/>
      <c r="M264" s="19"/>
      <c r="N264" s="19"/>
      <c r="O264" s="19"/>
    </row>
    <row r="265" spans="1:15" hidden="1" x14ac:dyDescent="0.3">
      <c r="A265" s="19"/>
      <c r="B265" s="19"/>
      <c r="C265" s="19"/>
      <c r="D265" s="19"/>
      <c r="E265" s="19"/>
      <c r="F265" s="19"/>
      <c r="G265" s="19"/>
      <c r="I265" s="19"/>
      <c r="J265" s="19"/>
      <c r="K265" s="19"/>
      <c r="L265" s="19"/>
      <c r="M265" s="19"/>
      <c r="N265" s="19"/>
      <c r="O265" s="19"/>
    </row>
    <row r="266" spans="1:15" hidden="1" x14ac:dyDescent="0.3">
      <c r="A266" s="19"/>
      <c r="B266" s="19"/>
      <c r="C266" s="19"/>
      <c r="D266" s="19"/>
      <c r="E266" s="19"/>
      <c r="F266" s="19"/>
      <c r="G266" s="19"/>
      <c r="I266" s="19"/>
      <c r="J266" s="19"/>
      <c r="K266" s="19"/>
      <c r="L266" s="19"/>
      <c r="M266" s="19"/>
      <c r="N266" s="19"/>
      <c r="O266" s="19"/>
    </row>
    <row r="267" spans="1:15" hidden="1" x14ac:dyDescent="0.3">
      <c r="A267" s="19"/>
      <c r="B267" s="19"/>
      <c r="C267" s="19"/>
      <c r="D267" s="19"/>
      <c r="E267" s="19"/>
      <c r="F267" s="19"/>
      <c r="G267" s="19"/>
      <c r="I267" s="19"/>
      <c r="J267" s="19"/>
      <c r="K267" s="19"/>
      <c r="L267" s="19"/>
      <c r="M267" s="19"/>
      <c r="N267" s="19"/>
      <c r="O267" s="19"/>
    </row>
    <row r="268" spans="1:15" hidden="1" x14ac:dyDescent="0.3">
      <c r="A268" s="19"/>
      <c r="B268" s="19"/>
      <c r="C268" s="19"/>
      <c r="D268" s="19"/>
      <c r="E268" s="19"/>
      <c r="F268" s="19"/>
      <c r="G268" s="19"/>
      <c r="I268" s="19"/>
      <c r="J268" s="19"/>
      <c r="K268" s="19"/>
      <c r="L268" s="19"/>
      <c r="M268" s="19"/>
      <c r="N268" s="19"/>
      <c r="O268" s="19"/>
    </row>
    <row r="269" spans="1:15" hidden="1" x14ac:dyDescent="0.3">
      <c r="A269" s="19"/>
      <c r="B269" s="19"/>
      <c r="C269" s="19"/>
      <c r="D269" s="19"/>
      <c r="E269" s="19"/>
      <c r="F269" s="19"/>
      <c r="G269" s="19"/>
      <c r="I269" s="19"/>
      <c r="J269" s="19"/>
      <c r="K269" s="19"/>
      <c r="L269" s="19"/>
      <c r="M269" s="19"/>
      <c r="N269" s="19"/>
      <c r="O269" s="19"/>
    </row>
    <row r="270" spans="1:15" hidden="1" x14ac:dyDescent="0.3">
      <c r="A270" s="19"/>
      <c r="B270" s="19"/>
      <c r="C270" s="19"/>
      <c r="D270" s="19"/>
      <c r="E270" s="19"/>
      <c r="F270" s="19"/>
      <c r="G270" s="19"/>
      <c r="I270" s="19"/>
      <c r="J270" s="19"/>
      <c r="K270" s="19"/>
      <c r="L270" s="19"/>
      <c r="M270" s="19"/>
      <c r="N270" s="19"/>
      <c r="O270" s="19"/>
    </row>
    <row r="271" spans="1:15" hidden="1" x14ac:dyDescent="0.3">
      <c r="A271" s="19"/>
      <c r="B271" s="19"/>
      <c r="C271" s="19"/>
      <c r="D271" s="19"/>
      <c r="E271" s="19"/>
      <c r="F271" s="19"/>
      <c r="G271" s="19"/>
      <c r="I271" s="19"/>
      <c r="J271" s="19"/>
      <c r="K271" s="19"/>
      <c r="L271" s="19"/>
      <c r="M271" s="19"/>
      <c r="N271" s="19"/>
      <c r="O271" s="19"/>
    </row>
    <row r="272" spans="1:15" hidden="1" x14ac:dyDescent="0.3">
      <c r="A272" s="19"/>
      <c r="B272" s="19"/>
      <c r="C272" s="19"/>
      <c r="D272" s="19"/>
      <c r="E272" s="19"/>
      <c r="F272" s="19"/>
      <c r="G272" s="19"/>
      <c r="I272" s="19"/>
      <c r="J272" s="19"/>
      <c r="K272" s="19"/>
      <c r="L272" s="19"/>
      <c r="M272" s="19"/>
      <c r="N272" s="19"/>
      <c r="O272" s="19"/>
    </row>
    <row r="273" spans="1:15" hidden="1" x14ac:dyDescent="0.3">
      <c r="A273" s="19"/>
      <c r="B273" s="19"/>
      <c r="C273" s="19"/>
      <c r="D273" s="19"/>
      <c r="E273" s="19"/>
      <c r="F273" s="19"/>
      <c r="G273" s="19"/>
      <c r="I273" s="19"/>
      <c r="J273" s="19"/>
      <c r="K273" s="19"/>
      <c r="L273" s="19"/>
      <c r="M273" s="19"/>
      <c r="N273" s="19"/>
      <c r="O273" s="19"/>
    </row>
    <row r="274" spans="1:15" hidden="1" x14ac:dyDescent="0.3">
      <c r="A274" s="19"/>
      <c r="B274" s="19"/>
      <c r="C274" s="19"/>
      <c r="D274" s="19"/>
      <c r="E274" s="19"/>
      <c r="F274" s="19"/>
      <c r="G274" s="19"/>
      <c r="I274" s="19"/>
      <c r="J274" s="19"/>
      <c r="K274" s="19"/>
      <c r="L274" s="19"/>
      <c r="M274" s="19"/>
      <c r="N274" s="19"/>
      <c r="O274" s="19"/>
    </row>
    <row r="275" spans="1:15" hidden="1" x14ac:dyDescent="0.3">
      <c r="A275" s="19"/>
      <c r="B275" s="19"/>
      <c r="C275" s="19"/>
      <c r="D275" s="19"/>
      <c r="E275" s="19"/>
      <c r="F275" s="19"/>
      <c r="G275" s="19"/>
      <c r="I275" s="19"/>
      <c r="J275" s="19"/>
      <c r="K275" s="19"/>
      <c r="L275" s="19"/>
      <c r="M275" s="19"/>
      <c r="N275" s="19"/>
      <c r="O275" s="19"/>
    </row>
    <row r="276" spans="1:15" hidden="1" x14ac:dyDescent="0.3">
      <c r="A276" s="19"/>
      <c r="B276" s="19"/>
      <c r="C276" s="19"/>
      <c r="D276" s="19"/>
      <c r="E276" s="19"/>
      <c r="F276" s="19"/>
      <c r="G276" s="19"/>
      <c r="I276" s="19"/>
      <c r="J276" s="19"/>
      <c r="K276" s="19"/>
      <c r="L276" s="19"/>
      <c r="M276" s="19"/>
      <c r="N276" s="19"/>
      <c r="O276" s="19"/>
    </row>
    <row r="277" spans="1:15" hidden="1" x14ac:dyDescent="0.3">
      <c r="A277" s="19"/>
      <c r="B277" s="19"/>
      <c r="C277" s="19"/>
      <c r="D277" s="19"/>
      <c r="E277" s="19"/>
      <c r="F277" s="19"/>
      <c r="G277" s="19"/>
      <c r="I277" s="19"/>
      <c r="J277" s="19"/>
      <c r="K277" s="19"/>
      <c r="L277" s="19"/>
      <c r="M277" s="19"/>
      <c r="N277" s="19"/>
      <c r="O277" s="19"/>
    </row>
    <row r="278" spans="1:15" hidden="1" x14ac:dyDescent="0.3">
      <c r="A278" s="19"/>
      <c r="B278" s="19"/>
      <c r="C278" s="19"/>
      <c r="D278" s="19"/>
      <c r="E278" s="19"/>
      <c r="F278" s="19"/>
      <c r="G278" s="19"/>
      <c r="I278" s="19"/>
      <c r="J278" s="19"/>
      <c r="K278" s="19"/>
      <c r="L278" s="19"/>
      <c r="M278" s="19"/>
      <c r="N278" s="19"/>
      <c r="O278" s="19"/>
    </row>
    <row r="279" spans="1:15" hidden="1" x14ac:dyDescent="0.3">
      <c r="A279" s="19"/>
      <c r="B279" s="19"/>
      <c r="C279" s="19"/>
      <c r="D279" s="19"/>
      <c r="E279" s="19"/>
      <c r="F279" s="19"/>
      <c r="G279" s="19"/>
      <c r="I279" s="19"/>
      <c r="J279" s="19"/>
      <c r="K279" s="19"/>
      <c r="L279" s="19"/>
      <c r="M279" s="19"/>
      <c r="N279" s="19"/>
      <c r="O279" s="19"/>
    </row>
    <row r="280" spans="1:15" hidden="1" x14ac:dyDescent="0.3">
      <c r="A280" s="19"/>
      <c r="B280" s="19"/>
      <c r="C280" s="19"/>
      <c r="D280" s="19"/>
      <c r="E280" s="19"/>
      <c r="F280" s="19"/>
      <c r="G280" s="19"/>
      <c r="I280" s="19"/>
      <c r="J280" s="19"/>
      <c r="K280" s="19"/>
      <c r="L280" s="19"/>
      <c r="M280" s="19"/>
      <c r="N280" s="19"/>
      <c r="O280" s="19"/>
    </row>
    <row r="281" spans="1:15" hidden="1" x14ac:dyDescent="0.3">
      <c r="A281" s="19"/>
      <c r="B281" s="19"/>
      <c r="C281" s="19"/>
      <c r="D281" s="19"/>
      <c r="E281" s="19"/>
      <c r="F281" s="19"/>
      <c r="G281" s="19"/>
      <c r="I281" s="19"/>
      <c r="J281" s="19"/>
      <c r="K281" s="19"/>
      <c r="L281" s="19"/>
      <c r="M281" s="19"/>
      <c r="N281" s="19"/>
      <c r="O281" s="19"/>
    </row>
    <row r="282" spans="1:15" hidden="1" x14ac:dyDescent="0.3">
      <c r="A282" s="19"/>
      <c r="B282" s="19"/>
      <c r="C282" s="19"/>
      <c r="D282" s="19"/>
      <c r="E282" s="19"/>
      <c r="F282" s="19"/>
      <c r="G282" s="19"/>
      <c r="I282" s="19"/>
      <c r="J282" s="19"/>
      <c r="K282" s="19"/>
      <c r="L282" s="19"/>
      <c r="M282" s="19"/>
      <c r="N282" s="19"/>
      <c r="O282" s="19"/>
    </row>
    <row r="283" spans="1:15" hidden="1" x14ac:dyDescent="0.3">
      <c r="A283" s="19"/>
      <c r="B283" s="19"/>
      <c r="C283" s="19"/>
      <c r="D283" s="19"/>
      <c r="E283" s="19"/>
      <c r="F283" s="19"/>
      <c r="G283" s="19"/>
      <c r="I283" s="19"/>
      <c r="J283" s="19"/>
      <c r="K283" s="19"/>
      <c r="L283" s="19"/>
      <c r="M283" s="19"/>
      <c r="N283" s="19"/>
      <c r="O283" s="19"/>
    </row>
    <row r="284" spans="1:15" x14ac:dyDescent="0.3"/>
  </sheetData>
  <mergeCells count="2">
    <mergeCell ref="A1:A3"/>
    <mergeCell ref="A4:A6"/>
  </mergeCells>
  <pageMargins left="0.7" right="0.7" top="0.75" bottom="0.75" header="0.3" footer="0.3"/>
  <ignoredErrors>
    <ignoredError sqref="E18:E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Training data</vt:lpstr>
      <vt:lpstr>Testing data</vt:lpstr>
      <vt:lpstr>ANN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PICHARDO APONTE</dc:creator>
  <cp:lastModifiedBy>RUIZ - LOPEZ IRVING ISRAEL</cp:lastModifiedBy>
  <dcterms:created xsi:type="dcterms:W3CDTF">2026-03-02T19:19:40Z</dcterms:created>
  <dcterms:modified xsi:type="dcterms:W3CDTF">2026-04-19T21:18:25Z</dcterms:modified>
</cp:coreProperties>
</file>