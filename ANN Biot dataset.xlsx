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KAREN\TRABAJOS\Elipsoide\Archivos\Supplementary material\"/>
    </mc:Choice>
  </mc:AlternateContent>
  <xr:revisionPtr revIDLastSave="0" documentId="13_ncr:1_{9FE19978-F0F7-431E-97C1-0DB47E50274B}" xr6:coauthVersionLast="47" xr6:coauthVersionMax="47" xr10:uidLastSave="{00000000-0000-0000-0000-000000000000}"/>
  <bookViews>
    <workbookView xWindow="-28920" yWindow="1440" windowWidth="29040" windowHeight="15720" xr2:uid="{50CB72F4-0439-4F8A-A182-980B5CE0A695}"/>
  </bookViews>
  <sheets>
    <sheet name="Training data" sheetId="40" r:id="rId1"/>
    <sheet name="ANN performance" sheetId="41" r:id="rId2"/>
    <sheet name="Testing data" sheetId="42" r:id="rId3"/>
  </sheets>
  <definedNames>
    <definedName name="solver_adj" localSheetId="2" hidden="1">'Testing data'!#REF!</definedName>
    <definedName name="solver_adj" localSheetId="0" hidden="1">'Training data'!$I$1:$I$26</definedName>
    <definedName name="solver_cvg" localSheetId="2" hidden="1">0.0001</definedName>
    <definedName name="solver_cvg" localSheetId="0" hidden="1">0.0001</definedName>
    <definedName name="solver_drv" localSheetId="2" hidden="1">2</definedName>
    <definedName name="solver_drv" localSheetId="0" hidden="1">2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1</definedName>
    <definedName name="solver_msl" localSheetId="0" hidden="1">1</definedName>
    <definedName name="solver_neg" localSheetId="2" hidden="1">2</definedName>
    <definedName name="solver_neg" localSheetId="0" hidden="1">2</definedName>
    <definedName name="solver_nod" localSheetId="2" hidden="1">2147483647</definedName>
    <definedName name="solver_nod" localSheetId="0" hidden="1">2147483647</definedName>
    <definedName name="solver_num" localSheetId="2" hidden="1">0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'Testing data'!#REF!</definedName>
    <definedName name="solver_opt" localSheetId="0" hidden="1">'Training data'!$V$2</definedName>
    <definedName name="solver_pre" localSheetId="2" hidden="1">0.000001</definedName>
    <definedName name="solver_pre" localSheetId="0" hidden="1">0.000001</definedName>
    <definedName name="solver_rbv" localSheetId="2" hidden="1">2</definedName>
    <definedName name="solver_rbv" localSheetId="0" hidden="1">2</definedName>
    <definedName name="solver_rlx" localSheetId="2" hidden="1">2</definedName>
    <definedName name="solver_rlx" localSheetId="0" hidden="1">2</definedName>
    <definedName name="solver_rsd" localSheetId="2" hidden="1">10</definedName>
    <definedName name="solver_rsd" localSheetId="0" hidden="1">10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</definedName>
    <definedName name="solver_ssz" localSheetId="0" hidden="1">10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2</definedName>
    <definedName name="solver_typ" localSheetId="0" hidden="1">2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40" l="1"/>
  <c r="V4" i="40"/>
  <c r="W275" i="40" s="1"/>
  <c r="W276" i="40"/>
  <c r="W279" i="40"/>
  <c r="W280" i="40"/>
  <c r="W281" i="40"/>
  <c r="W282" i="40"/>
  <c r="W284" i="40"/>
  <c r="W286" i="40"/>
  <c r="W287" i="40"/>
  <c r="W288" i="40"/>
  <c r="W289" i="40"/>
  <c r="W290" i="40"/>
  <c r="W292" i="40"/>
  <c r="W294" i="40"/>
  <c r="W295" i="40"/>
  <c r="W296" i="40"/>
  <c r="W297" i="40"/>
  <c r="W298" i="40"/>
  <c r="W300" i="40"/>
  <c r="W302" i="40"/>
  <c r="W303" i="40"/>
  <c r="W304" i="40"/>
  <c r="W305" i="40"/>
  <c r="W306" i="40"/>
  <c r="W308" i="40"/>
  <c r="W310" i="40"/>
  <c r="W311" i="40"/>
  <c r="W312" i="40"/>
  <c r="W313" i="40"/>
  <c r="W314" i="40"/>
  <c r="W316" i="40"/>
  <c r="W318" i="40"/>
  <c r="W319" i="40"/>
  <c r="W320" i="40"/>
  <c r="W321" i="40"/>
  <c r="W322" i="40"/>
  <c r="W324" i="40"/>
  <c r="W326" i="40"/>
  <c r="W327" i="40"/>
  <c r="W328" i="40"/>
  <c r="W329" i="40"/>
  <c r="W330" i="40"/>
  <c r="W332" i="40"/>
  <c r="W334" i="40"/>
  <c r="W335" i="40"/>
  <c r="W336" i="40"/>
  <c r="W337" i="40"/>
  <c r="W338" i="40"/>
  <c r="W340" i="40"/>
  <c r="W342" i="40"/>
  <c r="W343" i="40"/>
  <c r="W344" i="40"/>
  <c r="W345" i="40"/>
  <c r="W346" i="40"/>
  <c r="W348" i="40"/>
  <c r="W350" i="40"/>
  <c r="W351" i="40"/>
  <c r="W352" i="40"/>
  <c r="W353" i="40"/>
  <c r="W354" i="40"/>
  <c r="W356" i="40"/>
  <c r="W358" i="40"/>
  <c r="W359" i="40"/>
  <c r="W360" i="40"/>
  <c r="W361" i="40"/>
  <c r="W362" i="40"/>
  <c r="W364" i="40"/>
  <c r="W366" i="40"/>
  <c r="W367" i="40"/>
  <c r="W368" i="40"/>
  <c r="W369" i="40"/>
  <c r="W370" i="40"/>
  <c r="W372" i="40"/>
  <c r="W374" i="40"/>
  <c r="W375" i="40"/>
  <c r="W376" i="40"/>
  <c r="W377" i="40"/>
  <c r="W378" i="40"/>
  <c r="W380" i="40"/>
  <c r="W382" i="40"/>
  <c r="W383" i="40"/>
  <c r="W384" i="40"/>
  <c r="W385" i="40"/>
  <c r="W386" i="40"/>
  <c r="W388" i="40"/>
  <c r="W389" i="40"/>
  <c r="W390" i="40"/>
  <c r="W391" i="40"/>
  <c r="N275" i="40"/>
  <c r="Q275" i="40" s="1"/>
  <c r="O275" i="40"/>
  <c r="R275" i="40" s="1"/>
  <c r="P275" i="40"/>
  <c r="S275" i="40" s="1"/>
  <c r="N276" i="40"/>
  <c r="Q276" i="40" s="1"/>
  <c r="O276" i="40"/>
  <c r="R276" i="40" s="1"/>
  <c r="P276" i="40"/>
  <c r="S276" i="40" s="1"/>
  <c r="N277" i="40"/>
  <c r="Q277" i="40" s="1"/>
  <c r="O277" i="40"/>
  <c r="R277" i="40" s="1"/>
  <c r="P277" i="40"/>
  <c r="S277" i="40" s="1"/>
  <c r="N278" i="40"/>
  <c r="Q278" i="40" s="1"/>
  <c r="O278" i="40"/>
  <c r="R278" i="40" s="1"/>
  <c r="P278" i="40"/>
  <c r="S278" i="40" s="1"/>
  <c r="N279" i="40"/>
  <c r="Q279" i="40" s="1"/>
  <c r="O279" i="40"/>
  <c r="R279" i="40" s="1"/>
  <c r="P279" i="40"/>
  <c r="S279" i="40" s="1"/>
  <c r="N280" i="40"/>
  <c r="Q280" i="40" s="1"/>
  <c r="O280" i="40"/>
  <c r="R280" i="40" s="1"/>
  <c r="P280" i="40"/>
  <c r="S280" i="40" s="1"/>
  <c r="N281" i="40"/>
  <c r="Q281" i="40" s="1"/>
  <c r="O281" i="40"/>
  <c r="R281" i="40" s="1"/>
  <c r="P281" i="40"/>
  <c r="S281" i="40" s="1"/>
  <c r="N282" i="40"/>
  <c r="Q282" i="40" s="1"/>
  <c r="O282" i="40"/>
  <c r="R282" i="40" s="1"/>
  <c r="P282" i="40"/>
  <c r="S282" i="40" s="1"/>
  <c r="N283" i="40"/>
  <c r="Q283" i="40" s="1"/>
  <c r="O283" i="40"/>
  <c r="R283" i="40" s="1"/>
  <c r="P283" i="40"/>
  <c r="S283" i="40" s="1"/>
  <c r="N284" i="40"/>
  <c r="Q284" i="40" s="1"/>
  <c r="O284" i="40"/>
  <c r="R284" i="40" s="1"/>
  <c r="P284" i="40"/>
  <c r="S284" i="40" s="1"/>
  <c r="N285" i="40"/>
  <c r="Q285" i="40" s="1"/>
  <c r="O285" i="40"/>
  <c r="R285" i="40" s="1"/>
  <c r="P285" i="40"/>
  <c r="S285" i="40" s="1"/>
  <c r="N286" i="40"/>
  <c r="Q286" i="40" s="1"/>
  <c r="O286" i="40"/>
  <c r="R286" i="40" s="1"/>
  <c r="P286" i="40"/>
  <c r="S286" i="40" s="1"/>
  <c r="N287" i="40"/>
  <c r="Q287" i="40" s="1"/>
  <c r="O287" i="40"/>
  <c r="R287" i="40" s="1"/>
  <c r="P287" i="40"/>
  <c r="S287" i="40" s="1"/>
  <c r="N288" i="40"/>
  <c r="Q288" i="40" s="1"/>
  <c r="O288" i="40"/>
  <c r="R288" i="40" s="1"/>
  <c r="P288" i="40"/>
  <c r="S288" i="40" s="1"/>
  <c r="N289" i="40"/>
  <c r="Q289" i="40" s="1"/>
  <c r="O289" i="40"/>
  <c r="R289" i="40" s="1"/>
  <c r="P289" i="40"/>
  <c r="S289" i="40" s="1"/>
  <c r="N290" i="40"/>
  <c r="Q290" i="40" s="1"/>
  <c r="O290" i="40"/>
  <c r="R290" i="40" s="1"/>
  <c r="P290" i="40"/>
  <c r="S290" i="40" s="1"/>
  <c r="N291" i="40"/>
  <c r="Q291" i="40" s="1"/>
  <c r="O291" i="40"/>
  <c r="R291" i="40" s="1"/>
  <c r="P291" i="40"/>
  <c r="S291" i="40" s="1"/>
  <c r="N292" i="40"/>
  <c r="Q292" i="40" s="1"/>
  <c r="O292" i="40"/>
  <c r="R292" i="40" s="1"/>
  <c r="P292" i="40"/>
  <c r="S292" i="40" s="1"/>
  <c r="N293" i="40"/>
  <c r="Q293" i="40" s="1"/>
  <c r="O293" i="40"/>
  <c r="R293" i="40" s="1"/>
  <c r="P293" i="40"/>
  <c r="S293" i="40" s="1"/>
  <c r="N294" i="40"/>
  <c r="Q294" i="40" s="1"/>
  <c r="O294" i="40"/>
  <c r="R294" i="40" s="1"/>
  <c r="P294" i="40"/>
  <c r="S294" i="40" s="1"/>
  <c r="N295" i="40"/>
  <c r="Q295" i="40" s="1"/>
  <c r="O295" i="40"/>
  <c r="R295" i="40" s="1"/>
  <c r="P295" i="40"/>
  <c r="S295" i="40" s="1"/>
  <c r="N296" i="40"/>
  <c r="Q296" i="40" s="1"/>
  <c r="O296" i="40"/>
  <c r="R296" i="40" s="1"/>
  <c r="P296" i="40"/>
  <c r="S296" i="40" s="1"/>
  <c r="N297" i="40"/>
  <c r="Q297" i="40" s="1"/>
  <c r="O297" i="40"/>
  <c r="R297" i="40" s="1"/>
  <c r="P297" i="40"/>
  <c r="S297" i="40" s="1"/>
  <c r="N298" i="40"/>
  <c r="Q298" i="40" s="1"/>
  <c r="O298" i="40"/>
  <c r="R298" i="40" s="1"/>
  <c r="P298" i="40"/>
  <c r="S298" i="40" s="1"/>
  <c r="N299" i="40"/>
  <c r="Q299" i="40" s="1"/>
  <c r="O299" i="40"/>
  <c r="R299" i="40" s="1"/>
  <c r="P299" i="40"/>
  <c r="S299" i="40" s="1"/>
  <c r="N300" i="40"/>
  <c r="Q300" i="40" s="1"/>
  <c r="O300" i="40"/>
  <c r="R300" i="40" s="1"/>
  <c r="P300" i="40"/>
  <c r="S300" i="40" s="1"/>
  <c r="N301" i="40"/>
  <c r="Q301" i="40" s="1"/>
  <c r="O301" i="40"/>
  <c r="R301" i="40" s="1"/>
  <c r="P301" i="40"/>
  <c r="S301" i="40" s="1"/>
  <c r="N302" i="40"/>
  <c r="Q302" i="40" s="1"/>
  <c r="O302" i="40"/>
  <c r="R302" i="40" s="1"/>
  <c r="P302" i="40"/>
  <c r="S302" i="40" s="1"/>
  <c r="N303" i="40"/>
  <c r="Q303" i="40" s="1"/>
  <c r="O303" i="40"/>
  <c r="R303" i="40" s="1"/>
  <c r="P303" i="40"/>
  <c r="S303" i="40" s="1"/>
  <c r="N304" i="40"/>
  <c r="Q304" i="40" s="1"/>
  <c r="O304" i="40"/>
  <c r="R304" i="40" s="1"/>
  <c r="P304" i="40"/>
  <c r="S304" i="40" s="1"/>
  <c r="N305" i="40"/>
  <c r="Q305" i="40" s="1"/>
  <c r="O305" i="40"/>
  <c r="R305" i="40" s="1"/>
  <c r="P305" i="40"/>
  <c r="S305" i="40" s="1"/>
  <c r="N306" i="40"/>
  <c r="Q306" i="40" s="1"/>
  <c r="O306" i="40"/>
  <c r="R306" i="40" s="1"/>
  <c r="P306" i="40"/>
  <c r="S306" i="40" s="1"/>
  <c r="N307" i="40"/>
  <c r="Q307" i="40" s="1"/>
  <c r="O307" i="40"/>
  <c r="R307" i="40" s="1"/>
  <c r="P307" i="40"/>
  <c r="S307" i="40" s="1"/>
  <c r="N308" i="40"/>
  <c r="Q308" i="40" s="1"/>
  <c r="O308" i="40"/>
  <c r="R308" i="40" s="1"/>
  <c r="P308" i="40"/>
  <c r="S308" i="40" s="1"/>
  <c r="N309" i="40"/>
  <c r="Q309" i="40" s="1"/>
  <c r="O309" i="40"/>
  <c r="R309" i="40" s="1"/>
  <c r="P309" i="40"/>
  <c r="S309" i="40" s="1"/>
  <c r="N310" i="40"/>
  <c r="Q310" i="40" s="1"/>
  <c r="O310" i="40"/>
  <c r="R310" i="40" s="1"/>
  <c r="P310" i="40"/>
  <c r="S310" i="40" s="1"/>
  <c r="N311" i="40"/>
  <c r="Q311" i="40" s="1"/>
  <c r="O311" i="40"/>
  <c r="R311" i="40" s="1"/>
  <c r="P311" i="40"/>
  <c r="S311" i="40" s="1"/>
  <c r="N312" i="40"/>
  <c r="Q312" i="40" s="1"/>
  <c r="O312" i="40"/>
  <c r="R312" i="40" s="1"/>
  <c r="P312" i="40"/>
  <c r="S312" i="40" s="1"/>
  <c r="N313" i="40"/>
  <c r="Q313" i="40" s="1"/>
  <c r="O313" i="40"/>
  <c r="R313" i="40" s="1"/>
  <c r="P313" i="40"/>
  <c r="S313" i="40" s="1"/>
  <c r="N314" i="40"/>
  <c r="Q314" i="40" s="1"/>
  <c r="O314" i="40"/>
  <c r="R314" i="40" s="1"/>
  <c r="P314" i="40"/>
  <c r="S314" i="40" s="1"/>
  <c r="N315" i="40"/>
  <c r="Q315" i="40" s="1"/>
  <c r="O315" i="40"/>
  <c r="R315" i="40" s="1"/>
  <c r="P315" i="40"/>
  <c r="S315" i="40" s="1"/>
  <c r="N316" i="40"/>
  <c r="Q316" i="40" s="1"/>
  <c r="O316" i="40"/>
  <c r="R316" i="40" s="1"/>
  <c r="P316" i="40"/>
  <c r="S316" i="40" s="1"/>
  <c r="N317" i="40"/>
  <c r="Q317" i="40" s="1"/>
  <c r="O317" i="40"/>
  <c r="R317" i="40" s="1"/>
  <c r="P317" i="40"/>
  <c r="S317" i="40" s="1"/>
  <c r="N318" i="40"/>
  <c r="Q318" i="40" s="1"/>
  <c r="O318" i="40"/>
  <c r="R318" i="40" s="1"/>
  <c r="P318" i="40"/>
  <c r="S318" i="40" s="1"/>
  <c r="N319" i="40"/>
  <c r="Q319" i="40" s="1"/>
  <c r="O319" i="40"/>
  <c r="R319" i="40" s="1"/>
  <c r="P319" i="40"/>
  <c r="S319" i="40" s="1"/>
  <c r="N320" i="40"/>
  <c r="Q320" i="40" s="1"/>
  <c r="O320" i="40"/>
  <c r="R320" i="40" s="1"/>
  <c r="P320" i="40"/>
  <c r="S320" i="40" s="1"/>
  <c r="N321" i="40"/>
  <c r="Q321" i="40" s="1"/>
  <c r="O321" i="40"/>
  <c r="R321" i="40" s="1"/>
  <c r="P321" i="40"/>
  <c r="S321" i="40" s="1"/>
  <c r="N322" i="40"/>
  <c r="Q322" i="40" s="1"/>
  <c r="O322" i="40"/>
  <c r="R322" i="40" s="1"/>
  <c r="P322" i="40"/>
  <c r="S322" i="40" s="1"/>
  <c r="N323" i="40"/>
  <c r="Q323" i="40" s="1"/>
  <c r="O323" i="40"/>
  <c r="R323" i="40" s="1"/>
  <c r="P323" i="40"/>
  <c r="S323" i="40" s="1"/>
  <c r="N324" i="40"/>
  <c r="Q324" i="40" s="1"/>
  <c r="O324" i="40"/>
  <c r="R324" i="40" s="1"/>
  <c r="P324" i="40"/>
  <c r="S324" i="40" s="1"/>
  <c r="N325" i="40"/>
  <c r="Q325" i="40" s="1"/>
  <c r="O325" i="40"/>
  <c r="R325" i="40" s="1"/>
  <c r="P325" i="40"/>
  <c r="S325" i="40" s="1"/>
  <c r="N326" i="40"/>
  <c r="Q326" i="40" s="1"/>
  <c r="O326" i="40"/>
  <c r="R326" i="40" s="1"/>
  <c r="P326" i="40"/>
  <c r="S326" i="40" s="1"/>
  <c r="N327" i="40"/>
  <c r="Q327" i="40" s="1"/>
  <c r="O327" i="40"/>
  <c r="R327" i="40" s="1"/>
  <c r="P327" i="40"/>
  <c r="S327" i="40" s="1"/>
  <c r="N328" i="40"/>
  <c r="Q328" i="40" s="1"/>
  <c r="O328" i="40"/>
  <c r="R328" i="40" s="1"/>
  <c r="P328" i="40"/>
  <c r="S328" i="40" s="1"/>
  <c r="N329" i="40"/>
  <c r="Q329" i="40" s="1"/>
  <c r="O329" i="40"/>
  <c r="R329" i="40" s="1"/>
  <c r="P329" i="40"/>
  <c r="S329" i="40" s="1"/>
  <c r="N330" i="40"/>
  <c r="Q330" i="40" s="1"/>
  <c r="O330" i="40"/>
  <c r="R330" i="40" s="1"/>
  <c r="P330" i="40"/>
  <c r="S330" i="40" s="1"/>
  <c r="N331" i="40"/>
  <c r="Q331" i="40" s="1"/>
  <c r="O331" i="40"/>
  <c r="R331" i="40" s="1"/>
  <c r="P331" i="40"/>
  <c r="S331" i="40" s="1"/>
  <c r="N332" i="40"/>
  <c r="Q332" i="40" s="1"/>
  <c r="O332" i="40"/>
  <c r="R332" i="40" s="1"/>
  <c r="P332" i="40"/>
  <c r="S332" i="40" s="1"/>
  <c r="N333" i="40"/>
  <c r="Q333" i="40" s="1"/>
  <c r="O333" i="40"/>
  <c r="R333" i="40" s="1"/>
  <c r="P333" i="40"/>
  <c r="S333" i="40" s="1"/>
  <c r="N334" i="40"/>
  <c r="Q334" i="40" s="1"/>
  <c r="O334" i="40"/>
  <c r="R334" i="40" s="1"/>
  <c r="P334" i="40"/>
  <c r="S334" i="40" s="1"/>
  <c r="N335" i="40"/>
  <c r="Q335" i="40" s="1"/>
  <c r="O335" i="40"/>
  <c r="R335" i="40" s="1"/>
  <c r="P335" i="40"/>
  <c r="S335" i="40" s="1"/>
  <c r="N336" i="40"/>
  <c r="Q336" i="40" s="1"/>
  <c r="O336" i="40"/>
  <c r="R336" i="40" s="1"/>
  <c r="P336" i="40"/>
  <c r="S336" i="40" s="1"/>
  <c r="N337" i="40"/>
  <c r="Q337" i="40" s="1"/>
  <c r="O337" i="40"/>
  <c r="R337" i="40" s="1"/>
  <c r="P337" i="40"/>
  <c r="S337" i="40" s="1"/>
  <c r="N338" i="40"/>
  <c r="Q338" i="40" s="1"/>
  <c r="O338" i="40"/>
  <c r="R338" i="40" s="1"/>
  <c r="P338" i="40"/>
  <c r="S338" i="40" s="1"/>
  <c r="N339" i="40"/>
  <c r="Q339" i="40" s="1"/>
  <c r="O339" i="40"/>
  <c r="R339" i="40" s="1"/>
  <c r="P339" i="40"/>
  <c r="S339" i="40" s="1"/>
  <c r="N340" i="40"/>
  <c r="Q340" i="40" s="1"/>
  <c r="O340" i="40"/>
  <c r="R340" i="40" s="1"/>
  <c r="P340" i="40"/>
  <c r="S340" i="40" s="1"/>
  <c r="N341" i="40"/>
  <c r="Q341" i="40" s="1"/>
  <c r="O341" i="40"/>
  <c r="R341" i="40" s="1"/>
  <c r="P341" i="40"/>
  <c r="S341" i="40" s="1"/>
  <c r="N342" i="40"/>
  <c r="Q342" i="40" s="1"/>
  <c r="O342" i="40"/>
  <c r="R342" i="40" s="1"/>
  <c r="P342" i="40"/>
  <c r="S342" i="40" s="1"/>
  <c r="N343" i="40"/>
  <c r="Q343" i="40" s="1"/>
  <c r="O343" i="40"/>
  <c r="R343" i="40" s="1"/>
  <c r="P343" i="40"/>
  <c r="S343" i="40" s="1"/>
  <c r="N344" i="40"/>
  <c r="Q344" i="40" s="1"/>
  <c r="O344" i="40"/>
  <c r="R344" i="40" s="1"/>
  <c r="P344" i="40"/>
  <c r="S344" i="40" s="1"/>
  <c r="N345" i="40"/>
  <c r="Q345" i="40" s="1"/>
  <c r="O345" i="40"/>
  <c r="R345" i="40" s="1"/>
  <c r="P345" i="40"/>
  <c r="S345" i="40" s="1"/>
  <c r="N346" i="40"/>
  <c r="Q346" i="40" s="1"/>
  <c r="O346" i="40"/>
  <c r="R346" i="40" s="1"/>
  <c r="P346" i="40"/>
  <c r="S346" i="40" s="1"/>
  <c r="N347" i="40"/>
  <c r="Q347" i="40" s="1"/>
  <c r="O347" i="40"/>
  <c r="R347" i="40" s="1"/>
  <c r="P347" i="40"/>
  <c r="S347" i="40" s="1"/>
  <c r="N348" i="40"/>
  <c r="Q348" i="40" s="1"/>
  <c r="O348" i="40"/>
  <c r="R348" i="40" s="1"/>
  <c r="P348" i="40"/>
  <c r="S348" i="40" s="1"/>
  <c r="N349" i="40"/>
  <c r="Q349" i="40" s="1"/>
  <c r="O349" i="40"/>
  <c r="R349" i="40" s="1"/>
  <c r="P349" i="40"/>
  <c r="S349" i="40" s="1"/>
  <c r="N350" i="40"/>
  <c r="Q350" i="40" s="1"/>
  <c r="O350" i="40"/>
  <c r="R350" i="40" s="1"/>
  <c r="P350" i="40"/>
  <c r="S350" i="40" s="1"/>
  <c r="N351" i="40"/>
  <c r="Q351" i="40" s="1"/>
  <c r="O351" i="40"/>
  <c r="R351" i="40" s="1"/>
  <c r="P351" i="40"/>
  <c r="S351" i="40" s="1"/>
  <c r="N352" i="40"/>
  <c r="Q352" i="40" s="1"/>
  <c r="O352" i="40"/>
  <c r="R352" i="40" s="1"/>
  <c r="P352" i="40"/>
  <c r="S352" i="40" s="1"/>
  <c r="N353" i="40"/>
  <c r="Q353" i="40" s="1"/>
  <c r="O353" i="40"/>
  <c r="R353" i="40" s="1"/>
  <c r="P353" i="40"/>
  <c r="S353" i="40" s="1"/>
  <c r="N354" i="40"/>
  <c r="Q354" i="40" s="1"/>
  <c r="O354" i="40"/>
  <c r="R354" i="40" s="1"/>
  <c r="P354" i="40"/>
  <c r="S354" i="40" s="1"/>
  <c r="N355" i="40"/>
  <c r="Q355" i="40" s="1"/>
  <c r="O355" i="40"/>
  <c r="R355" i="40" s="1"/>
  <c r="P355" i="40"/>
  <c r="S355" i="40" s="1"/>
  <c r="N356" i="40"/>
  <c r="Q356" i="40" s="1"/>
  <c r="O356" i="40"/>
  <c r="R356" i="40" s="1"/>
  <c r="P356" i="40"/>
  <c r="S356" i="40" s="1"/>
  <c r="N357" i="40"/>
  <c r="Q357" i="40" s="1"/>
  <c r="O357" i="40"/>
  <c r="R357" i="40" s="1"/>
  <c r="P357" i="40"/>
  <c r="S357" i="40" s="1"/>
  <c r="N358" i="40"/>
  <c r="Q358" i="40" s="1"/>
  <c r="O358" i="40"/>
  <c r="R358" i="40" s="1"/>
  <c r="P358" i="40"/>
  <c r="S358" i="40" s="1"/>
  <c r="N359" i="40"/>
  <c r="Q359" i="40" s="1"/>
  <c r="O359" i="40"/>
  <c r="R359" i="40" s="1"/>
  <c r="P359" i="40"/>
  <c r="S359" i="40" s="1"/>
  <c r="N360" i="40"/>
  <c r="Q360" i="40" s="1"/>
  <c r="O360" i="40"/>
  <c r="R360" i="40" s="1"/>
  <c r="P360" i="40"/>
  <c r="S360" i="40" s="1"/>
  <c r="N361" i="40"/>
  <c r="Q361" i="40" s="1"/>
  <c r="O361" i="40"/>
  <c r="R361" i="40" s="1"/>
  <c r="P361" i="40"/>
  <c r="S361" i="40" s="1"/>
  <c r="N362" i="40"/>
  <c r="Q362" i="40" s="1"/>
  <c r="O362" i="40"/>
  <c r="R362" i="40" s="1"/>
  <c r="P362" i="40"/>
  <c r="S362" i="40" s="1"/>
  <c r="N363" i="40"/>
  <c r="Q363" i="40" s="1"/>
  <c r="O363" i="40"/>
  <c r="R363" i="40" s="1"/>
  <c r="P363" i="40"/>
  <c r="S363" i="40" s="1"/>
  <c r="N364" i="40"/>
  <c r="Q364" i="40" s="1"/>
  <c r="O364" i="40"/>
  <c r="R364" i="40" s="1"/>
  <c r="P364" i="40"/>
  <c r="S364" i="40" s="1"/>
  <c r="N365" i="40"/>
  <c r="Q365" i="40" s="1"/>
  <c r="O365" i="40"/>
  <c r="R365" i="40" s="1"/>
  <c r="P365" i="40"/>
  <c r="S365" i="40" s="1"/>
  <c r="N366" i="40"/>
  <c r="Q366" i="40" s="1"/>
  <c r="O366" i="40"/>
  <c r="R366" i="40" s="1"/>
  <c r="P366" i="40"/>
  <c r="S366" i="40" s="1"/>
  <c r="N367" i="40"/>
  <c r="Q367" i="40" s="1"/>
  <c r="O367" i="40"/>
  <c r="R367" i="40" s="1"/>
  <c r="P367" i="40"/>
  <c r="S367" i="40" s="1"/>
  <c r="N368" i="40"/>
  <c r="Q368" i="40" s="1"/>
  <c r="O368" i="40"/>
  <c r="R368" i="40" s="1"/>
  <c r="P368" i="40"/>
  <c r="S368" i="40" s="1"/>
  <c r="N369" i="40"/>
  <c r="Q369" i="40" s="1"/>
  <c r="O369" i="40"/>
  <c r="R369" i="40" s="1"/>
  <c r="P369" i="40"/>
  <c r="S369" i="40" s="1"/>
  <c r="N370" i="40"/>
  <c r="Q370" i="40" s="1"/>
  <c r="O370" i="40"/>
  <c r="R370" i="40" s="1"/>
  <c r="P370" i="40"/>
  <c r="S370" i="40" s="1"/>
  <c r="N371" i="40"/>
  <c r="Q371" i="40" s="1"/>
  <c r="O371" i="40"/>
  <c r="R371" i="40" s="1"/>
  <c r="P371" i="40"/>
  <c r="S371" i="40" s="1"/>
  <c r="N372" i="40"/>
  <c r="Q372" i="40" s="1"/>
  <c r="O372" i="40"/>
  <c r="R372" i="40" s="1"/>
  <c r="P372" i="40"/>
  <c r="S372" i="40" s="1"/>
  <c r="N373" i="40"/>
  <c r="Q373" i="40" s="1"/>
  <c r="O373" i="40"/>
  <c r="R373" i="40" s="1"/>
  <c r="P373" i="40"/>
  <c r="S373" i="40" s="1"/>
  <c r="N374" i="40"/>
  <c r="Q374" i="40" s="1"/>
  <c r="O374" i="40"/>
  <c r="R374" i="40" s="1"/>
  <c r="P374" i="40"/>
  <c r="S374" i="40" s="1"/>
  <c r="N375" i="40"/>
  <c r="Q375" i="40" s="1"/>
  <c r="O375" i="40"/>
  <c r="R375" i="40" s="1"/>
  <c r="P375" i="40"/>
  <c r="S375" i="40" s="1"/>
  <c r="N376" i="40"/>
  <c r="Q376" i="40" s="1"/>
  <c r="O376" i="40"/>
  <c r="R376" i="40" s="1"/>
  <c r="P376" i="40"/>
  <c r="S376" i="40" s="1"/>
  <c r="N377" i="40"/>
  <c r="Q377" i="40" s="1"/>
  <c r="O377" i="40"/>
  <c r="R377" i="40" s="1"/>
  <c r="P377" i="40"/>
  <c r="S377" i="40" s="1"/>
  <c r="N378" i="40"/>
  <c r="Q378" i="40" s="1"/>
  <c r="O378" i="40"/>
  <c r="R378" i="40" s="1"/>
  <c r="P378" i="40"/>
  <c r="S378" i="40" s="1"/>
  <c r="N379" i="40"/>
  <c r="Q379" i="40" s="1"/>
  <c r="O379" i="40"/>
  <c r="R379" i="40" s="1"/>
  <c r="P379" i="40"/>
  <c r="S379" i="40" s="1"/>
  <c r="N380" i="40"/>
  <c r="Q380" i="40" s="1"/>
  <c r="O380" i="40"/>
  <c r="R380" i="40" s="1"/>
  <c r="P380" i="40"/>
  <c r="S380" i="40" s="1"/>
  <c r="N381" i="40"/>
  <c r="Q381" i="40" s="1"/>
  <c r="O381" i="40"/>
  <c r="R381" i="40" s="1"/>
  <c r="P381" i="40"/>
  <c r="S381" i="40" s="1"/>
  <c r="N382" i="40"/>
  <c r="Q382" i="40" s="1"/>
  <c r="O382" i="40"/>
  <c r="R382" i="40" s="1"/>
  <c r="P382" i="40"/>
  <c r="S382" i="40" s="1"/>
  <c r="N383" i="40"/>
  <c r="Q383" i="40" s="1"/>
  <c r="O383" i="40"/>
  <c r="R383" i="40" s="1"/>
  <c r="P383" i="40"/>
  <c r="S383" i="40" s="1"/>
  <c r="N384" i="40"/>
  <c r="Q384" i="40" s="1"/>
  <c r="O384" i="40"/>
  <c r="R384" i="40" s="1"/>
  <c r="P384" i="40"/>
  <c r="S384" i="40" s="1"/>
  <c r="N385" i="40"/>
  <c r="Q385" i="40" s="1"/>
  <c r="O385" i="40"/>
  <c r="R385" i="40" s="1"/>
  <c r="P385" i="40"/>
  <c r="S385" i="40" s="1"/>
  <c r="N386" i="40"/>
  <c r="Q386" i="40" s="1"/>
  <c r="O386" i="40"/>
  <c r="R386" i="40" s="1"/>
  <c r="P386" i="40"/>
  <c r="S386" i="40" s="1"/>
  <c r="N387" i="40"/>
  <c r="Q387" i="40" s="1"/>
  <c r="O387" i="40"/>
  <c r="R387" i="40" s="1"/>
  <c r="P387" i="40"/>
  <c r="S387" i="40" s="1"/>
  <c r="N388" i="40"/>
  <c r="Q388" i="40" s="1"/>
  <c r="O388" i="40"/>
  <c r="R388" i="40" s="1"/>
  <c r="P388" i="40"/>
  <c r="S388" i="40" s="1"/>
  <c r="N389" i="40"/>
  <c r="Q389" i="40" s="1"/>
  <c r="O389" i="40"/>
  <c r="R389" i="40" s="1"/>
  <c r="P389" i="40"/>
  <c r="S389" i="40" s="1"/>
  <c r="N390" i="40"/>
  <c r="Q390" i="40" s="1"/>
  <c r="O390" i="40"/>
  <c r="R390" i="40" s="1"/>
  <c r="P390" i="40"/>
  <c r="S390" i="40" s="1"/>
  <c r="N391" i="40"/>
  <c r="Q391" i="40" s="1"/>
  <c r="O391" i="40"/>
  <c r="R391" i="40" s="1"/>
  <c r="P391" i="40"/>
  <c r="S391" i="40" s="1"/>
  <c r="T385" i="40" l="1"/>
  <c r="U385" i="40" s="1"/>
  <c r="T364" i="40"/>
  <c r="U364" i="40" s="1"/>
  <c r="T307" i="40"/>
  <c r="U307" i="40" s="1"/>
  <c r="T290" i="40"/>
  <c r="X290" i="40" s="1"/>
  <c r="T276" i="40"/>
  <c r="X276" i="40" s="1"/>
  <c r="T321" i="40"/>
  <c r="U321" i="40" s="1"/>
  <c r="T314" i="40"/>
  <c r="U314" i="40" s="1"/>
  <c r="T300" i="40"/>
  <c r="X300" i="40" s="1"/>
  <c r="T296" i="40"/>
  <c r="X296" i="40" s="1"/>
  <c r="T332" i="40"/>
  <c r="X332" i="40" s="1"/>
  <c r="T374" i="40"/>
  <c r="X374" i="40" s="1"/>
  <c r="T360" i="40"/>
  <c r="X360" i="40" s="1"/>
  <c r="T353" i="40"/>
  <c r="U353" i="40" s="1"/>
  <c r="T339" i="40"/>
  <c r="U339" i="40" s="1"/>
  <c r="T335" i="40"/>
  <c r="U335" i="40" s="1"/>
  <c r="T328" i="40"/>
  <c r="X328" i="40" s="1"/>
  <c r="T286" i="40"/>
  <c r="U286" i="40" s="1"/>
  <c r="T275" i="40"/>
  <c r="U275" i="40" s="1"/>
  <c r="T363" i="40"/>
  <c r="U363" i="40" s="1"/>
  <c r="T346" i="40"/>
  <c r="U346" i="40" s="1"/>
  <c r="T310" i="40"/>
  <c r="X310" i="40" s="1"/>
  <c r="T306" i="40"/>
  <c r="U306" i="40" s="1"/>
  <c r="T303" i="40"/>
  <c r="U303" i="40" s="1"/>
  <c r="T371" i="40"/>
  <c r="U371" i="40" s="1"/>
  <c r="T350" i="40"/>
  <c r="X350" i="40" s="1"/>
  <c r="T391" i="40"/>
  <c r="X391" i="40" s="1"/>
  <c r="T384" i="40"/>
  <c r="X384" i="40" s="1"/>
  <c r="T377" i="40"/>
  <c r="X377" i="40" s="1"/>
  <c r="T370" i="40"/>
  <c r="X370" i="40" s="1"/>
  <c r="T356" i="40"/>
  <c r="X356" i="40" s="1"/>
  <c r="T331" i="40"/>
  <c r="U331" i="40" s="1"/>
  <c r="T324" i="40"/>
  <c r="U324" i="40" s="1"/>
  <c r="T289" i="40"/>
  <c r="U289" i="40" s="1"/>
  <c r="T282" i="40"/>
  <c r="U282" i="40" s="1"/>
  <c r="T352" i="40"/>
  <c r="X352" i="40" s="1"/>
  <c r="T342" i="40"/>
  <c r="X342" i="40" s="1"/>
  <c r="T313" i="40"/>
  <c r="U313" i="40" s="1"/>
  <c r="T299" i="40"/>
  <c r="X299" i="40" s="1"/>
  <c r="T387" i="40"/>
  <c r="U387" i="40" s="1"/>
  <c r="T380" i="40"/>
  <c r="X380" i="40" s="1"/>
  <c r="T373" i="40"/>
  <c r="U373" i="40" s="1"/>
  <c r="T366" i="40"/>
  <c r="U366" i="40" s="1"/>
  <c r="T359" i="40"/>
  <c r="X359" i="40" s="1"/>
  <c r="T355" i="40"/>
  <c r="U355" i="40" s="1"/>
  <c r="T320" i="40"/>
  <c r="X320" i="40" s="1"/>
  <c r="T304" i="40"/>
  <c r="U304" i="40" s="1"/>
  <c r="T343" i="40"/>
  <c r="U343" i="40" s="1"/>
  <c r="T388" i="40"/>
  <c r="X388" i="40" s="1"/>
  <c r="T345" i="40"/>
  <c r="X345" i="40" s="1"/>
  <c r="T334" i="40"/>
  <c r="X334" i="40" s="1"/>
  <c r="T292" i="40"/>
  <c r="U292" i="40" s="1"/>
  <c r="T278" i="40"/>
  <c r="X278" i="40" s="1"/>
  <c r="T318" i="40"/>
  <c r="X318" i="40" s="1"/>
  <c r="T369" i="40"/>
  <c r="U369" i="40" s="1"/>
  <c r="T362" i="40"/>
  <c r="U362" i="40" s="1"/>
  <c r="T323" i="40"/>
  <c r="U323" i="40" s="1"/>
  <c r="T316" i="40"/>
  <c r="U316" i="40" s="1"/>
  <c r="T302" i="40"/>
  <c r="X302" i="40" s="1"/>
  <c r="T390" i="40"/>
  <c r="X390" i="40" s="1"/>
  <c r="T376" i="40"/>
  <c r="U376" i="40" s="1"/>
  <c r="T341" i="40"/>
  <c r="U341" i="40" s="1"/>
  <c r="T330" i="40"/>
  <c r="U330" i="40" s="1"/>
  <c r="T288" i="40"/>
  <c r="U288" i="40" s="1"/>
  <c r="T379" i="40"/>
  <c r="U379" i="40" s="1"/>
  <c r="T361" i="40"/>
  <c r="U361" i="40" s="1"/>
  <c r="T348" i="40"/>
  <c r="X348" i="40" s="1"/>
  <c r="T319" i="40"/>
  <c r="U319" i="40" s="1"/>
  <c r="T312" i="40"/>
  <c r="X312" i="40" s="1"/>
  <c r="T305" i="40"/>
  <c r="X305" i="40" s="1"/>
  <c r="T298" i="40"/>
  <c r="X298" i="40" s="1"/>
  <c r="T283" i="40"/>
  <c r="U283" i="40" s="1"/>
  <c r="T386" i="40"/>
  <c r="X386" i="40" s="1"/>
  <c r="T372" i="40"/>
  <c r="U372" i="40" s="1"/>
  <c r="T358" i="40"/>
  <c r="X358" i="40" s="1"/>
  <c r="T333" i="40"/>
  <c r="U333" i="40" s="1"/>
  <c r="T326" i="40"/>
  <c r="X326" i="40" s="1"/>
  <c r="T284" i="40"/>
  <c r="X284" i="40" s="1"/>
  <c r="T344" i="40"/>
  <c r="U344" i="40" s="1"/>
  <c r="T315" i="40"/>
  <c r="U315" i="40" s="1"/>
  <c r="T308" i="40"/>
  <c r="X308" i="40" s="1"/>
  <c r="T301" i="40"/>
  <c r="U301" i="40" s="1"/>
  <c r="T389" i="40"/>
  <c r="U389" i="40" s="1"/>
  <c r="T382" i="40"/>
  <c r="X382" i="40" s="1"/>
  <c r="T378" i="40"/>
  <c r="U378" i="40" s="1"/>
  <c r="T375" i="40"/>
  <c r="U375" i="40" s="1"/>
  <c r="T368" i="40"/>
  <c r="X368" i="40" s="1"/>
  <c r="T329" i="40"/>
  <c r="U329" i="40" s="1"/>
  <c r="T322" i="40"/>
  <c r="X322" i="40" s="1"/>
  <c r="T294" i="40"/>
  <c r="U294" i="40" s="1"/>
  <c r="T287" i="40"/>
  <c r="U287" i="40" s="1"/>
  <c r="T357" i="40"/>
  <c r="U357" i="40" s="1"/>
  <c r="T354" i="40"/>
  <c r="X354" i="40" s="1"/>
  <c r="T347" i="40"/>
  <c r="U347" i="40" s="1"/>
  <c r="T340" i="40"/>
  <c r="X340" i="40" s="1"/>
  <c r="T336" i="40"/>
  <c r="U336" i="40" s="1"/>
  <c r="T297" i="40"/>
  <c r="U297" i="40" s="1"/>
  <c r="T280" i="40"/>
  <c r="X280" i="40" s="1"/>
  <c r="T338" i="40"/>
  <c r="X385" i="40"/>
  <c r="W278" i="40"/>
  <c r="W381" i="40"/>
  <c r="W373" i="40"/>
  <c r="W365" i="40"/>
  <c r="W357" i="40"/>
  <c r="W349" i="40"/>
  <c r="W341" i="40"/>
  <c r="W333" i="40"/>
  <c r="W325" i="40"/>
  <c r="W317" i="40"/>
  <c r="W309" i="40"/>
  <c r="W301" i="40"/>
  <c r="W293" i="40"/>
  <c r="W285" i="40"/>
  <c r="W277" i="40"/>
  <c r="W387" i="40"/>
  <c r="W379" i="40"/>
  <c r="W371" i="40"/>
  <c r="W363" i="40"/>
  <c r="W355" i="40"/>
  <c r="W347" i="40"/>
  <c r="W339" i="40"/>
  <c r="W331" i="40"/>
  <c r="W323" i="40"/>
  <c r="W315" i="40"/>
  <c r="W307" i="40"/>
  <c r="W299" i="40"/>
  <c r="W291" i="40"/>
  <c r="W283" i="40"/>
  <c r="T383" i="40"/>
  <c r="T351" i="40"/>
  <c r="T311" i="40"/>
  <c r="T279" i="40"/>
  <c r="T291" i="40"/>
  <c r="T281" i="40"/>
  <c r="T365" i="40"/>
  <c r="T325" i="40"/>
  <c r="T293" i="40"/>
  <c r="T337" i="40"/>
  <c r="T367" i="40"/>
  <c r="T327" i="40"/>
  <c r="T295" i="40"/>
  <c r="T317" i="40"/>
  <c r="T285" i="40"/>
  <c r="T381" i="40"/>
  <c r="T349" i="40"/>
  <c r="T309" i="40"/>
  <c r="T277" i="40"/>
  <c r="F16" i="42"/>
  <c r="F17" i="42"/>
  <c r="F18" i="42"/>
  <c r="E16" i="42"/>
  <c r="E17" i="42"/>
  <c r="E18" i="42"/>
  <c r="D16" i="42"/>
  <c r="D17" i="42"/>
  <c r="D18" i="42"/>
  <c r="C16" i="42"/>
  <c r="C17" i="42"/>
  <c r="C18" i="42"/>
  <c r="B16" i="42"/>
  <c r="B17" i="42"/>
  <c r="B18" i="42"/>
  <c r="A16" i="42"/>
  <c r="A17" i="42"/>
  <c r="A18" i="42"/>
  <c r="U334" i="40" l="1"/>
  <c r="U290" i="40"/>
  <c r="U342" i="40"/>
  <c r="X364" i="40"/>
  <c r="U352" i="40"/>
  <c r="U382" i="40"/>
  <c r="X286" i="40"/>
  <c r="X346" i="40"/>
  <c r="X313" i="40"/>
  <c r="X306" i="40"/>
  <c r="X307" i="40"/>
  <c r="X319" i="40"/>
  <c r="U276" i="40"/>
  <c r="X363" i="40"/>
  <c r="U299" i="40"/>
  <c r="U305" i="40"/>
  <c r="X292" i="40"/>
  <c r="U312" i="40"/>
  <c r="U278" i="40"/>
  <c r="U391" i="40"/>
  <c r="X321" i="40"/>
  <c r="X375" i="40"/>
  <c r="X366" i="40"/>
  <c r="X323" i="40"/>
  <c r="X369" i="40"/>
  <c r="X378" i="40"/>
  <c r="U360" i="40"/>
  <c r="X387" i="40"/>
  <c r="X316" i="40"/>
  <c r="X303" i="40"/>
  <c r="U302" i="40"/>
  <c r="U354" i="40"/>
  <c r="X357" i="40"/>
  <c r="U359" i="40"/>
  <c r="X287" i="40"/>
  <c r="X373" i="40"/>
  <c r="U298" i="40"/>
  <c r="X372" i="40"/>
  <c r="U340" i="40"/>
  <c r="U377" i="40"/>
  <c r="U380" i="40"/>
  <c r="U386" i="40"/>
  <c r="U368" i="40"/>
  <c r="X371" i="40"/>
  <c r="U296" i="40"/>
  <c r="X314" i="40"/>
  <c r="X353" i="40"/>
  <c r="U284" i="40"/>
  <c r="X288" i="40"/>
  <c r="X330" i="40"/>
  <c r="U388" i="40"/>
  <c r="X341" i="40"/>
  <c r="U320" i="40"/>
  <c r="X297" i="40"/>
  <c r="X379" i="40"/>
  <c r="X304" i="40"/>
  <c r="U326" i="40"/>
  <c r="U356" i="40"/>
  <c r="U332" i="40"/>
  <c r="U350" i="40"/>
  <c r="U370" i="40"/>
  <c r="U300" i="40"/>
  <c r="X283" i="40"/>
  <c r="X343" i="40"/>
  <c r="X362" i="40"/>
  <c r="X376" i="40"/>
  <c r="U310" i="40"/>
  <c r="U318" i="40"/>
  <c r="X336" i="40"/>
  <c r="X347" i="40"/>
  <c r="X339" i="40"/>
  <c r="X329" i="40"/>
  <c r="X335" i="40"/>
  <c r="X331" i="40"/>
  <c r="U348" i="40"/>
  <c r="X361" i="40"/>
  <c r="U280" i="40"/>
  <c r="X282" i="40"/>
  <c r="X389" i="40"/>
  <c r="U308" i="40"/>
  <c r="X289" i="40"/>
  <c r="U345" i="40"/>
  <c r="X315" i="40"/>
  <c r="U328" i="40"/>
  <c r="U374" i="40"/>
  <c r="X324" i="40"/>
  <c r="U322" i="40"/>
  <c r="U358" i="40"/>
  <c r="X344" i="40"/>
  <c r="X294" i="40"/>
  <c r="U384" i="40"/>
  <c r="X275" i="40"/>
  <c r="X333" i="40"/>
  <c r="X355" i="40"/>
  <c r="U390" i="40"/>
  <c r="X301" i="40"/>
  <c r="U351" i="40"/>
  <c r="X351" i="40"/>
  <c r="U365" i="40"/>
  <c r="X365" i="40"/>
  <c r="U279" i="40"/>
  <c r="X279" i="40"/>
  <c r="U311" i="40"/>
  <c r="X311" i="40"/>
  <c r="U325" i="40"/>
  <c r="X325" i="40"/>
  <c r="U291" i="40"/>
  <c r="X291" i="40"/>
  <c r="U277" i="40"/>
  <c r="X277" i="40"/>
  <c r="U285" i="40"/>
  <c r="X285" i="40"/>
  <c r="U338" i="40"/>
  <c r="X338" i="40"/>
  <c r="U383" i="40"/>
  <c r="X383" i="40"/>
  <c r="U309" i="40"/>
  <c r="X309" i="40"/>
  <c r="U367" i="40"/>
  <c r="X367" i="40"/>
  <c r="U349" i="40"/>
  <c r="X349" i="40"/>
  <c r="U381" i="40"/>
  <c r="X381" i="40"/>
  <c r="U295" i="40"/>
  <c r="X295" i="40"/>
  <c r="U337" i="40"/>
  <c r="X337" i="40"/>
  <c r="U281" i="40"/>
  <c r="X281" i="40"/>
  <c r="U317" i="40"/>
  <c r="X317" i="40"/>
  <c r="U327" i="40"/>
  <c r="X327" i="40"/>
  <c r="U293" i="40"/>
  <c r="X293" i="40"/>
  <c r="I17" i="42"/>
  <c r="L17" i="42" s="1"/>
  <c r="J17" i="42"/>
  <c r="M17" i="42" s="1"/>
  <c r="K16" i="42"/>
  <c r="N16" i="42" s="1"/>
  <c r="K18" i="42"/>
  <c r="N18" i="42" s="1"/>
  <c r="K17" i="42"/>
  <c r="N17" i="42" s="1"/>
  <c r="I18" i="42"/>
  <c r="L18" i="42" s="1"/>
  <c r="J18" i="42"/>
  <c r="M18" i="42" s="1"/>
  <c r="I16" i="42"/>
  <c r="L16" i="42" s="1"/>
  <c r="J16" i="42"/>
  <c r="M16" i="42" s="1"/>
  <c r="W8" i="40"/>
  <c r="P274" i="40"/>
  <c r="S274" i="40" s="1"/>
  <c r="O274" i="40"/>
  <c r="R274" i="40" s="1"/>
  <c r="N274" i="40"/>
  <c r="Q274" i="40" s="1"/>
  <c r="P273" i="40"/>
  <c r="S273" i="40" s="1"/>
  <c r="O273" i="40"/>
  <c r="R273" i="40" s="1"/>
  <c r="N273" i="40"/>
  <c r="Q273" i="40" s="1"/>
  <c r="P272" i="40"/>
  <c r="S272" i="40" s="1"/>
  <c r="O272" i="40"/>
  <c r="R272" i="40" s="1"/>
  <c r="N272" i="40"/>
  <c r="Q272" i="40" s="1"/>
  <c r="P271" i="40"/>
  <c r="S271" i="40" s="1"/>
  <c r="O271" i="40"/>
  <c r="R271" i="40" s="1"/>
  <c r="N271" i="40"/>
  <c r="Q271" i="40" s="1"/>
  <c r="P270" i="40"/>
  <c r="S270" i="40" s="1"/>
  <c r="O270" i="40"/>
  <c r="R270" i="40" s="1"/>
  <c r="N270" i="40"/>
  <c r="Q270" i="40" s="1"/>
  <c r="P269" i="40"/>
  <c r="S269" i="40" s="1"/>
  <c r="O269" i="40"/>
  <c r="R269" i="40" s="1"/>
  <c r="N269" i="40"/>
  <c r="Q269" i="40" s="1"/>
  <c r="P268" i="40"/>
  <c r="S268" i="40" s="1"/>
  <c r="O268" i="40"/>
  <c r="R268" i="40" s="1"/>
  <c r="N268" i="40"/>
  <c r="Q268" i="40" s="1"/>
  <c r="P267" i="40"/>
  <c r="S267" i="40" s="1"/>
  <c r="O267" i="40"/>
  <c r="R267" i="40" s="1"/>
  <c r="N267" i="40"/>
  <c r="Q267" i="40" s="1"/>
  <c r="P266" i="40"/>
  <c r="S266" i="40" s="1"/>
  <c r="O266" i="40"/>
  <c r="R266" i="40" s="1"/>
  <c r="N266" i="40"/>
  <c r="Q266" i="40" s="1"/>
  <c r="P265" i="40"/>
  <c r="S265" i="40" s="1"/>
  <c r="O265" i="40"/>
  <c r="R265" i="40" s="1"/>
  <c r="N265" i="40"/>
  <c r="Q265" i="40" s="1"/>
  <c r="P264" i="40"/>
  <c r="S264" i="40" s="1"/>
  <c r="O264" i="40"/>
  <c r="R264" i="40" s="1"/>
  <c r="N264" i="40"/>
  <c r="Q264" i="40" s="1"/>
  <c r="P263" i="40"/>
  <c r="S263" i="40" s="1"/>
  <c r="O263" i="40"/>
  <c r="R263" i="40" s="1"/>
  <c r="N263" i="40"/>
  <c r="Q263" i="40" s="1"/>
  <c r="P262" i="40"/>
  <c r="S262" i="40" s="1"/>
  <c r="O262" i="40"/>
  <c r="R262" i="40" s="1"/>
  <c r="N262" i="40"/>
  <c r="Q262" i="40" s="1"/>
  <c r="P261" i="40"/>
  <c r="S261" i="40" s="1"/>
  <c r="O261" i="40"/>
  <c r="R261" i="40" s="1"/>
  <c r="N261" i="40"/>
  <c r="Q261" i="40" s="1"/>
  <c r="P260" i="40"/>
  <c r="S260" i="40" s="1"/>
  <c r="O260" i="40"/>
  <c r="R260" i="40" s="1"/>
  <c r="N260" i="40"/>
  <c r="Q260" i="40" s="1"/>
  <c r="P259" i="40"/>
  <c r="S259" i="40" s="1"/>
  <c r="O259" i="40"/>
  <c r="R259" i="40" s="1"/>
  <c r="N259" i="40"/>
  <c r="Q259" i="40" s="1"/>
  <c r="P258" i="40"/>
  <c r="S258" i="40" s="1"/>
  <c r="O258" i="40"/>
  <c r="R258" i="40" s="1"/>
  <c r="N258" i="40"/>
  <c r="Q258" i="40" s="1"/>
  <c r="P257" i="40"/>
  <c r="S257" i="40" s="1"/>
  <c r="O257" i="40"/>
  <c r="R257" i="40" s="1"/>
  <c r="N257" i="40"/>
  <c r="Q257" i="40" s="1"/>
  <c r="P256" i="40"/>
  <c r="S256" i="40" s="1"/>
  <c r="O256" i="40"/>
  <c r="R256" i="40" s="1"/>
  <c r="N256" i="40"/>
  <c r="Q256" i="40" s="1"/>
  <c r="P255" i="40"/>
  <c r="S255" i="40" s="1"/>
  <c r="O255" i="40"/>
  <c r="R255" i="40" s="1"/>
  <c r="N255" i="40"/>
  <c r="Q255" i="40" s="1"/>
  <c r="P254" i="40"/>
  <c r="S254" i="40" s="1"/>
  <c r="O254" i="40"/>
  <c r="R254" i="40" s="1"/>
  <c r="N254" i="40"/>
  <c r="Q254" i="40" s="1"/>
  <c r="P253" i="40"/>
  <c r="S253" i="40" s="1"/>
  <c r="O253" i="40"/>
  <c r="R253" i="40" s="1"/>
  <c r="N253" i="40"/>
  <c r="Q253" i="40" s="1"/>
  <c r="P252" i="40"/>
  <c r="S252" i="40" s="1"/>
  <c r="O252" i="40"/>
  <c r="R252" i="40" s="1"/>
  <c r="N252" i="40"/>
  <c r="Q252" i="40" s="1"/>
  <c r="P251" i="40"/>
  <c r="S251" i="40" s="1"/>
  <c r="O251" i="40"/>
  <c r="R251" i="40" s="1"/>
  <c r="N251" i="40"/>
  <c r="Q251" i="40" s="1"/>
  <c r="P250" i="40"/>
  <c r="S250" i="40" s="1"/>
  <c r="O250" i="40"/>
  <c r="R250" i="40" s="1"/>
  <c r="N250" i="40"/>
  <c r="Q250" i="40" s="1"/>
  <c r="P249" i="40"/>
  <c r="S249" i="40" s="1"/>
  <c r="O249" i="40"/>
  <c r="R249" i="40" s="1"/>
  <c r="N249" i="40"/>
  <c r="Q249" i="40" s="1"/>
  <c r="P248" i="40"/>
  <c r="S248" i="40" s="1"/>
  <c r="O248" i="40"/>
  <c r="R248" i="40" s="1"/>
  <c r="N248" i="40"/>
  <c r="Q248" i="40" s="1"/>
  <c r="P247" i="40"/>
  <c r="S247" i="40" s="1"/>
  <c r="O247" i="40"/>
  <c r="R247" i="40" s="1"/>
  <c r="N247" i="40"/>
  <c r="Q247" i="40" s="1"/>
  <c r="P246" i="40"/>
  <c r="S246" i="40" s="1"/>
  <c r="O246" i="40"/>
  <c r="R246" i="40" s="1"/>
  <c r="N246" i="40"/>
  <c r="Q246" i="40" s="1"/>
  <c r="P245" i="40"/>
  <c r="S245" i="40" s="1"/>
  <c r="O245" i="40"/>
  <c r="R245" i="40" s="1"/>
  <c r="N245" i="40"/>
  <c r="Q245" i="40" s="1"/>
  <c r="P244" i="40"/>
  <c r="S244" i="40" s="1"/>
  <c r="O244" i="40"/>
  <c r="R244" i="40" s="1"/>
  <c r="N244" i="40"/>
  <c r="Q244" i="40" s="1"/>
  <c r="P243" i="40"/>
  <c r="S243" i="40" s="1"/>
  <c r="O243" i="40"/>
  <c r="R243" i="40" s="1"/>
  <c r="N243" i="40"/>
  <c r="Q243" i="40" s="1"/>
  <c r="P242" i="40"/>
  <c r="S242" i="40" s="1"/>
  <c r="O242" i="40"/>
  <c r="R242" i="40" s="1"/>
  <c r="N242" i="40"/>
  <c r="Q242" i="40" s="1"/>
  <c r="P241" i="40"/>
  <c r="S241" i="40" s="1"/>
  <c r="O241" i="40"/>
  <c r="R241" i="40" s="1"/>
  <c r="N241" i="40"/>
  <c r="Q241" i="40" s="1"/>
  <c r="P240" i="40"/>
  <c r="S240" i="40" s="1"/>
  <c r="O240" i="40"/>
  <c r="R240" i="40" s="1"/>
  <c r="N240" i="40"/>
  <c r="Q240" i="40" s="1"/>
  <c r="P239" i="40"/>
  <c r="S239" i="40" s="1"/>
  <c r="O239" i="40"/>
  <c r="R239" i="40" s="1"/>
  <c r="N239" i="40"/>
  <c r="Q239" i="40" s="1"/>
  <c r="P238" i="40"/>
  <c r="S238" i="40" s="1"/>
  <c r="O238" i="40"/>
  <c r="R238" i="40" s="1"/>
  <c r="N238" i="40"/>
  <c r="Q238" i="40" s="1"/>
  <c r="P237" i="40"/>
  <c r="S237" i="40" s="1"/>
  <c r="O237" i="40"/>
  <c r="R237" i="40" s="1"/>
  <c r="N237" i="40"/>
  <c r="Q237" i="40" s="1"/>
  <c r="P236" i="40"/>
  <c r="S236" i="40" s="1"/>
  <c r="O236" i="40"/>
  <c r="R236" i="40" s="1"/>
  <c r="N236" i="40"/>
  <c r="Q236" i="40" s="1"/>
  <c r="P235" i="40"/>
  <c r="S235" i="40" s="1"/>
  <c r="O235" i="40"/>
  <c r="R235" i="40" s="1"/>
  <c r="N235" i="40"/>
  <c r="Q235" i="40" s="1"/>
  <c r="P234" i="40"/>
  <c r="S234" i="40" s="1"/>
  <c r="O234" i="40"/>
  <c r="R234" i="40" s="1"/>
  <c r="N234" i="40"/>
  <c r="Q234" i="40" s="1"/>
  <c r="P233" i="40"/>
  <c r="S233" i="40" s="1"/>
  <c r="O233" i="40"/>
  <c r="R233" i="40" s="1"/>
  <c r="N233" i="40"/>
  <c r="Q233" i="40" s="1"/>
  <c r="P232" i="40"/>
  <c r="S232" i="40" s="1"/>
  <c r="O232" i="40"/>
  <c r="R232" i="40" s="1"/>
  <c r="N232" i="40"/>
  <c r="Q232" i="40" s="1"/>
  <c r="P231" i="40"/>
  <c r="S231" i="40" s="1"/>
  <c r="O231" i="40"/>
  <c r="R231" i="40" s="1"/>
  <c r="N231" i="40"/>
  <c r="Q231" i="40" s="1"/>
  <c r="P230" i="40"/>
  <c r="S230" i="40" s="1"/>
  <c r="O230" i="40"/>
  <c r="R230" i="40" s="1"/>
  <c r="N230" i="40"/>
  <c r="Q230" i="40" s="1"/>
  <c r="P229" i="40"/>
  <c r="S229" i="40" s="1"/>
  <c r="O229" i="40"/>
  <c r="R229" i="40" s="1"/>
  <c r="N229" i="40"/>
  <c r="Q229" i="40" s="1"/>
  <c r="P228" i="40"/>
  <c r="S228" i="40" s="1"/>
  <c r="O228" i="40"/>
  <c r="R228" i="40" s="1"/>
  <c r="N228" i="40"/>
  <c r="Q228" i="40" s="1"/>
  <c r="P227" i="40"/>
  <c r="S227" i="40" s="1"/>
  <c r="O227" i="40"/>
  <c r="R227" i="40" s="1"/>
  <c r="N227" i="40"/>
  <c r="Q227" i="40" s="1"/>
  <c r="P226" i="40"/>
  <c r="S226" i="40" s="1"/>
  <c r="O226" i="40"/>
  <c r="R226" i="40" s="1"/>
  <c r="N226" i="40"/>
  <c r="Q226" i="40" s="1"/>
  <c r="P225" i="40"/>
  <c r="S225" i="40" s="1"/>
  <c r="O225" i="40"/>
  <c r="R225" i="40" s="1"/>
  <c r="N225" i="40"/>
  <c r="Q225" i="40" s="1"/>
  <c r="P224" i="40"/>
  <c r="S224" i="40" s="1"/>
  <c r="O224" i="40"/>
  <c r="R224" i="40" s="1"/>
  <c r="N224" i="40"/>
  <c r="Q224" i="40" s="1"/>
  <c r="P223" i="40"/>
  <c r="S223" i="40" s="1"/>
  <c r="O223" i="40"/>
  <c r="R223" i="40" s="1"/>
  <c r="N223" i="40"/>
  <c r="Q223" i="40" s="1"/>
  <c r="P222" i="40"/>
  <c r="S222" i="40" s="1"/>
  <c r="O222" i="40"/>
  <c r="R222" i="40" s="1"/>
  <c r="N222" i="40"/>
  <c r="Q222" i="40" s="1"/>
  <c r="P221" i="40"/>
  <c r="S221" i="40" s="1"/>
  <c r="O221" i="40"/>
  <c r="R221" i="40" s="1"/>
  <c r="N221" i="40"/>
  <c r="Q221" i="40" s="1"/>
  <c r="P220" i="40"/>
  <c r="S220" i="40" s="1"/>
  <c r="O220" i="40"/>
  <c r="R220" i="40" s="1"/>
  <c r="N220" i="40"/>
  <c r="Q220" i="40" s="1"/>
  <c r="P219" i="40"/>
  <c r="S219" i="40" s="1"/>
  <c r="O219" i="40"/>
  <c r="R219" i="40" s="1"/>
  <c r="N219" i="40"/>
  <c r="Q219" i="40" s="1"/>
  <c r="P218" i="40"/>
  <c r="S218" i="40" s="1"/>
  <c r="O218" i="40"/>
  <c r="R218" i="40" s="1"/>
  <c r="N218" i="40"/>
  <c r="Q218" i="40" s="1"/>
  <c r="P217" i="40"/>
  <c r="S217" i="40" s="1"/>
  <c r="O217" i="40"/>
  <c r="R217" i="40" s="1"/>
  <c r="N217" i="40"/>
  <c r="Q217" i="40" s="1"/>
  <c r="P216" i="40"/>
  <c r="S216" i="40" s="1"/>
  <c r="O216" i="40"/>
  <c r="R216" i="40" s="1"/>
  <c r="N216" i="40"/>
  <c r="Q216" i="40" s="1"/>
  <c r="P215" i="40"/>
  <c r="S215" i="40" s="1"/>
  <c r="O215" i="40"/>
  <c r="R215" i="40" s="1"/>
  <c r="N215" i="40"/>
  <c r="Q215" i="40" s="1"/>
  <c r="P214" i="40"/>
  <c r="S214" i="40" s="1"/>
  <c r="O214" i="40"/>
  <c r="R214" i="40" s="1"/>
  <c r="N214" i="40"/>
  <c r="Q214" i="40" s="1"/>
  <c r="P213" i="40"/>
  <c r="S213" i="40" s="1"/>
  <c r="O213" i="40"/>
  <c r="R213" i="40" s="1"/>
  <c r="N213" i="40"/>
  <c r="Q213" i="40" s="1"/>
  <c r="P212" i="40"/>
  <c r="S212" i="40" s="1"/>
  <c r="O212" i="40"/>
  <c r="R212" i="40" s="1"/>
  <c r="N212" i="40"/>
  <c r="Q212" i="40" s="1"/>
  <c r="P211" i="40"/>
  <c r="S211" i="40" s="1"/>
  <c r="O211" i="40"/>
  <c r="R211" i="40" s="1"/>
  <c r="N211" i="40"/>
  <c r="Q211" i="40" s="1"/>
  <c r="P210" i="40"/>
  <c r="S210" i="40" s="1"/>
  <c r="O210" i="40"/>
  <c r="R210" i="40" s="1"/>
  <c r="N210" i="40"/>
  <c r="Q210" i="40" s="1"/>
  <c r="P209" i="40"/>
  <c r="S209" i="40" s="1"/>
  <c r="O209" i="40"/>
  <c r="R209" i="40" s="1"/>
  <c r="N209" i="40"/>
  <c r="Q209" i="40" s="1"/>
  <c r="P208" i="40"/>
  <c r="S208" i="40" s="1"/>
  <c r="O208" i="40"/>
  <c r="R208" i="40" s="1"/>
  <c r="N208" i="40"/>
  <c r="Q208" i="40" s="1"/>
  <c r="P207" i="40"/>
  <c r="S207" i="40" s="1"/>
  <c r="O207" i="40"/>
  <c r="R207" i="40" s="1"/>
  <c r="N207" i="40"/>
  <c r="Q207" i="40" s="1"/>
  <c r="P206" i="40"/>
  <c r="S206" i="40" s="1"/>
  <c r="O206" i="40"/>
  <c r="R206" i="40" s="1"/>
  <c r="N206" i="40"/>
  <c r="Q206" i="40" s="1"/>
  <c r="P205" i="40"/>
  <c r="S205" i="40" s="1"/>
  <c r="O205" i="40"/>
  <c r="R205" i="40" s="1"/>
  <c r="N205" i="40"/>
  <c r="Q205" i="40" s="1"/>
  <c r="P204" i="40"/>
  <c r="S204" i="40" s="1"/>
  <c r="O204" i="40"/>
  <c r="R204" i="40" s="1"/>
  <c r="N204" i="40"/>
  <c r="Q204" i="40" s="1"/>
  <c r="P203" i="40"/>
  <c r="S203" i="40" s="1"/>
  <c r="O203" i="40"/>
  <c r="R203" i="40" s="1"/>
  <c r="N203" i="40"/>
  <c r="Q203" i="40" s="1"/>
  <c r="P202" i="40"/>
  <c r="S202" i="40" s="1"/>
  <c r="O202" i="40"/>
  <c r="R202" i="40" s="1"/>
  <c r="N202" i="40"/>
  <c r="Q202" i="40" s="1"/>
  <c r="P201" i="40"/>
  <c r="S201" i="40" s="1"/>
  <c r="O201" i="40"/>
  <c r="R201" i="40" s="1"/>
  <c r="N201" i="40"/>
  <c r="Q201" i="40" s="1"/>
  <c r="P200" i="40"/>
  <c r="S200" i="40" s="1"/>
  <c r="O200" i="40"/>
  <c r="R200" i="40" s="1"/>
  <c r="N200" i="40"/>
  <c r="Q200" i="40" s="1"/>
  <c r="P199" i="40"/>
  <c r="S199" i="40" s="1"/>
  <c r="O199" i="40"/>
  <c r="R199" i="40" s="1"/>
  <c r="N199" i="40"/>
  <c r="Q199" i="40" s="1"/>
  <c r="P198" i="40"/>
  <c r="S198" i="40" s="1"/>
  <c r="O198" i="40"/>
  <c r="R198" i="40" s="1"/>
  <c r="N198" i="40"/>
  <c r="Q198" i="40" s="1"/>
  <c r="P197" i="40"/>
  <c r="S197" i="40" s="1"/>
  <c r="O197" i="40"/>
  <c r="R197" i="40" s="1"/>
  <c r="N197" i="40"/>
  <c r="Q197" i="40" s="1"/>
  <c r="P196" i="40"/>
  <c r="S196" i="40" s="1"/>
  <c r="O196" i="40"/>
  <c r="R196" i="40" s="1"/>
  <c r="N196" i="40"/>
  <c r="Q196" i="40" s="1"/>
  <c r="P195" i="40"/>
  <c r="S195" i="40" s="1"/>
  <c r="O195" i="40"/>
  <c r="R195" i="40" s="1"/>
  <c r="N195" i="40"/>
  <c r="Q195" i="40" s="1"/>
  <c r="P194" i="40"/>
  <c r="S194" i="40" s="1"/>
  <c r="O194" i="40"/>
  <c r="R194" i="40" s="1"/>
  <c r="N194" i="40"/>
  <c r="Q194" i="40" s="1"/>
  <c r="P193" i="40"/>
  <c r="S193" i="40" s="1"/>
  <c r="O193" i="40"/>
  <c r="R193" i="40" s="1"/>
  <c r="N193" i="40"/>
  <c r="Q193" i="40" s="1"/>
  <c r="P192" i="40"/>
  <c r="S192" i="40" s="1"/>
  <c r="O192" i="40"/>
  <c r="R192" i="40" s="1"/>
  <c r="N192" i="40"/>
  <c r="Q192" i="40" s="1"/>
  <c r="P191" i="40"/>
  <c r="S191" i="40" s="1"/>
  <c r="O191" i="40"/>
  <c r="R191" i="40" s="1"/>
  <c r="N191" i="40"/>
  <c r="Q191" i="40" s="1"/>
  <c r="P190" i="40"/>
  <c r="S190" i="40" s="1"/>
  <c r="O190" i="40"/>
  <c r="R190" i="40" s="1"/>
  <c r="N190" i="40"/>
  <c r="Q190" i="40" s="1"/>
  <c r="P189" i="40"/>
  <c r="S189" i="40" s="1"/>
  <c r="O189" i="40"/>
  <c r="R189" i="40" s="1"/>
  <c r="N189" i="40"/>
  <c r="Q189" i="40" s="1"/>
  <c r="P188" i="40"/>
  <c r="S188" i="40" s="1"/>
  <c r="O188" i="40"/>
  <c r="R188" i="40" s="1"/>
  <c r="N188" i="40"/>
  <c r="Q188" i="40" s="1"/>
  <c r="P187" i="40"/>
  <c r="S187" i="40" s="1"/>
  <c r="O187" i="40"/>
  <c r="R187" i="40" s="1"/>
  <c r="N187" i="40"/>
  <c r="Q187" i="40" s="1"/>
  <c r="P186" i="40"/>
  <c r="S186" i="40" s="1"/>
  <c r="O186" i="40"/>
  <c r="R186" i="40" s="1"/>
  <c r="N186" i="40"/>
  <c r="Q186" i="40" s="1"/>
  <c r="P185" i="40"/>
  <c r="S185" i="40" s="1"/>
  <c r="O185" i="40"/>
  <c r="R185" i="40" s="1"/>
  <c r="N185" i="40"/>
  <c r="Q185" i="40" s="1"/>
  <c r="P184" i="40"/>
  <c r="S184" i="40" s="1"/>
  <c r="O184" i="40"/>
  <c r="R184" i="40" s="1"/>
  <c r="N184" i="40"/>
  <c r="Q184" i="40" s="1"/>
  <c r="P183" i="40"/>
  <c r="S183" i="40" s="1"/>
  <c r="O183" i="40"/>
  <c r="R183" i="40" s="1"/>
  <c r="N183" i="40"/>
  <c r="Q183" i="40" s="1"/>
  <c r="P182" i="40"/>
  <c r="S182" i="40" s="1"/>
  <c r="O182" i="40"/>
  <c r="R182" i="40" s="1"/>
  <c r="N182" i="40"/>
  <c r="Q182" i="40" s="1"/>
  <c r="P181" i="40"/>
  <c r="S181" i="40" s="1"/>
  <c r="O181" i="40"/>
  <c r="R181" i="40" s="1"/>
  <c r="N181" i="40"/>
  <c r="Q181" i="40" s="1"/>
  <c r="P180" i="40"/>
  <c r="S180" i="40" s="1"/>
  <c r="O180" i="40"/>
  <c r="R180" i="40" s="1"/>
  <c r="N180" i="40"/>
  <c r="Q180" i="40" s="1"/>
  <c r="P179" i="40"/>
  <c r="S179" i="40" s="1"/>
  <c r="O179" i="40"/>
  <c r="R179" i="40" s="1"/>
  <c r="N179" i="40"/>
  <c r="Q179" i="40" s="1"/>
  <c r="P178" i="40"/>
  <c r="S178" i="40" s="1"/>
  <c r="O178" i="40"/>
  <c r="R178" i="40" s="1"/>
  <c r="N178" i="40"/>
  <c r="Q178" i="40" s="1"/>
  <c r="P177" i="40"/>
  <c r="S177" i="40" s="1"/>
  <c r="O177" i="40"/>
  <c r="R177" i="40" s="1"/>
  <c r="N177" i="40"/>
  <c r="Q177" i="40" s="1"/>
  <c r="P176" i="40"/>
  <c r="S176" i="40" s="1"/>
  <c r="O176" i="40"/>
  <c r="R176" i="40" s="1"/>
  <c r="N176" i="40"/>
  <c r="Q176" i="40" s="1"/>
  <c r="P175" i="40"/>
  <c r="S175" i="40" s="1"/>
  <c r="O175" i="40"/>
  <c r="R175" i="40" s="1"/>
  <c r="N175" i="40"/>
  <c r="Q175" i="40" s="1"/>
  <c r="P174" i="40"/>
  <c r="S174" i="40" s="1"/>
  <c r="O174" i="40"/>
  <c r="R174" i="40" s="1"/>
  <c r="N174" i="40"/>
  <c r="Q174" i="40" s="1"/>
  <c r="P173" i="40"/>
  <c r="S173" i="40" s="1"/>
  <c r="O173" i="40"/>
  <c r="R173" i="40" s="1"/>
  <c r="N173" i="40"/>
  <c r="Q173" i="40" s="1"/>
  <c r="P172" i="40"/>
  <c r="S172" i="40" s="1"/>
  <c r="O172" i="40"/>
  <c r="R172" i="40" s="1"/>
  <c r="N172" i="40"/>
  <c r="Q172" i="40" s="1"/>
  <c r="P171" i="40"/>
  <c r="S171" i="40" s="1"/>
  <c r="O171" i="40"/>
  <c r="R171" i="40" s="1"/>
  <c r="N171" i="40"/>
  <c r="Q171" i="40" s="1"/>
  <c r="P170" i="40"/>
  <c r="S170" i="40" s="1"/>
  <c r="O170" i="40"/>
  <c r="R170" i="40" s="1"/>
  <c r="N170" i="40"/>
  <c r="Q170" i="40" s="1"/>
  <c r="P169" i="40"/>
  <c r="S169" i="40" s="1"/>
  <c r="O169" i="40"/>
  <c r="R169" i="40" s="1"/>
  <c r="N169" i="40"/>
  <c r="Q169" i="40" s="1"/>
  <c r="P168" i="40"/>
  <c r="S168" i="40" s="1"/>
  <c r="O168" i="40"/>
  <c r="R168" i="40" s="1"/>
  <c r="N168" i="40"/>
  <c r="Q168" i="40" s="1"/>
  <c r="P167" i="40"/>
  <c r="S167" i="40" s="1"/>
  <c r="O167" i="40"/>
  <c r="R167" i="40" s="1"/>
  <c r="N167" i="40"/>
  <c r="Q167" i="40" s="1"/>
  <c r="P166" i="40"/>
  <c r="S166" i="40" s="1"/>
  <c r="O166" i="40"/>
  <c r="R166" i="40" s="1"/>
  <c r="N166" i="40"/>
  <c r="Q166" i="40" s="1"/>
  <c r="P165" i="40"/>
  <c r="S165" i="40" s="1"/>
  <c r="O165" i="40"/>
  <c r="R165" i="40" s="1"/>
  <c r="N165" i="40"/>
  <c r="Q165" i="40" s="1"/>
  <c r="P164" i="40"/>
  <c r="S164" i="40" s="1"/>
  <c r="O164" i="40"/>
  <c r="R164" i="40" s="1"/>
  <c r="N164" i="40"/>
  <c r="Q164" i="40" s="1"/>
  <c r="P163" i="40"/>
  <c r="S163" i="40" s="1"/>
  <c r="O163" i="40"/>
  <c r="R163" i="40" s="1"/>
  <c r="N163" i="40"/>
  <c r="Q163" i="40" s="1"/>
  <c r="P162" i="40"/>
  <c r="S162" i="40" s="1"/>
  <c r="O162" i="40"/>
  <c r="R162" i="40" s="1"/>
  <c r="N162" i="40"/>
  <c r="Q162" i="40" s="1"/>
  <c r="P161" i="40"/>
  <c r="S161" i="40" s="1"/>
  <c r="O161" i="40"/>
  <c r="R161" i="40" s="1"/>
  <c r="N161" i="40"/>
  <c r="Q161" i="40" s="1"/>
  <c r="P160" i="40"/>
  <c r="S160" i="40" s="1"/>
  <c r="O160" i="40"/>
  <c r="R160" i="40" s="1"/>
  <c r="N160" i="40"/>
  <c r="Q160" i="40" s="1"/>
  <c r="P159" i="40"/>
  <c r="S159" i="40" s="1"/>
  <c r="O159" i="40"/>
  <c r="R159" i="40" s="1"/>
  <c r="N159" i="40"/>
  <c r="Q159" i="40" s="1"/>
  <c r="P158" i="40"/>
  <c r="S158" i="40" s="1"/>
  <c r="O158" i="40"/>
  <c r="R158" i="40" s="1"/>
  <c r="N158" i="40"/>
  <c r="Q158" i="40" s="1"/>
  <c r="P157" i="40"/>
  <c r="S157" i="40" s="1"/>
  <c r="O157" i="40"/>
  <c r="R157" i="40" s="1"/>
  <c r="N157" i="40"/>
  <c r="Q157" i="40" s="1"/>
  <c r="P156" i="40"/>
  <c r="S156" i="40" s="1"/>
  <c r="O156" i="40"/>
  <c r="R156" i="40" s="1"/>
  <c r="N156" i="40"/>
  <c r="Q156" i="40" s="1"/>
  <c r="P155" i="40"/>
  <c r="S155" i="40" s="1"/>
  <c r="O155" i="40"/>
  <c r="R155" i="40" s="1"/>
  <c r="N155" i="40"/>
  <c r="Q155" i="40" s="1"/>
  <c r="P154" i="40"/>
  <c r="S154" i="40" s="1"/>
  <c r="O154" i="40"/>
  <c r="R154" i="40" s="1"/>
  <c r="N154" i="40"/>
  <c r="Q154" i="40" s="1"/>
  <c r="P153" i="40"/>
  <c r="S153" i="40" s="1"/>
  <c r="O153" i="40"/>
  <c r="R153" i="40" s="1"/>
  <c r="N153" i="40"/>
  <c r="Q153" i="40" s="1"/>
  <c r="P152" i="40"/>
  <c r="S152" i="40" s="1"/>
  <c r="O152" i="40"/>
  <c r="R152" i="40" s="1"/>
  <c r="N152" i="40"/>
  <c r="Q152" i="40" s="1"/>
  <c r="P151" i="40"/>
  <c r="S151" i="40" s="1"/>
  <c r="O151" i="40"/>
  <c r="R151" i="40" s="1"/>
  <c r="N151" i="40"/>
  <c r="Q151" i="40" s="1"/>
  <c r="P150" i="40"/>
  <c r="S150" i="40" s="1"/>
  <c r="O150" i="40"/>
  <c r="R150" i="40" s="1"/>
  <c r="N150" i="40"/>
  <c r="Q150" i="40" s="1"/>
  <c r="P149" i="40"/>
  <c r="S149" i="40" s="1"/>
  <c r="O149" i="40"/>
  <c r="R149" i="40" s="1"/>
  <c r="N149" i="40"/>
  <c r="Q149" i="40" s="1"/>
  <c r="P148" i="40"/>
  <c r="S148" i="40" s="1"/>
  <c r="O148" i="40"/>
  <c r="R148" i="40" s="1"/>
  <c r="N148" i="40"/>
  <c r="Q148" i="40" s="1"/>
  <c r="P147" i="40"/>
  <c r="S147" i="40" s="1"/>
  <c r="O147" i="40"/>
  <c r="R147" i="40" s="1"/>
  <c r="N147" i="40"/>
  <c r="Q147" i="40" s="1"/>
  <c r="P146" i="40"/>
  <c r="S146" i="40" s="1"/>
  <c r="O146" i="40"/>
  <c r="R146" i="40" s="1"/>
  <c r="N146" i="40"/>
  <c r="Q146" i="40" s="1"/>
  <c r="P145" i="40"/>
  <c r="S145" i="40" s="1"/>
  <c r="O145" i="40"/>
  <c r="R145" i="40" s="1"/>
  <c r="N145" i="40"/>
  <c r="Q145" i="40" s="1"/>
  <c r="P144" i="40"/>
  <c r="S144" i="40" s="1"/>
  <c r="O144" i="40"/>
  <c r="R144" i="40" s="1"/>
  <c r="N144" i="40"/>
  <c r="Q144" i="40" s="1"/>
  <c r="P143" i="40"/>
  <c r="S143" i="40" s="1"/>
  <c r="O143" i="40"/>
  <c r="R143" i="40" s="1"/>
  <c r="N143" i="40"/>
  <c r="Q143" i="40" s="1"/>
  <c r="P142" i="40"/>
  <c r="S142" i="40" s="1"/>
  <c r="O142" i="40"/>
  <c r="R142" i="40" s="1"/>
  <c r="N142" i="40"/>
  <c r="Q142" i="40" s="1"/>
  <c r="P141" i="40"/>
  <c r="S141" i="40" s="1"/>
  <c r="O141" i="40"/>
  <c r="R141" i="40" s="1"/>
  <c r="N141" i="40"/>
  <c r="Q141" i="40" s="1"/>
  <c r="P140" i="40"/>
  <c r="S140" i="40" s="1"/>
  <c r="O140" i="40"/>
  <c r="R140" i="40" s="1"/>
  <c r="N140" i="40"/>
  <c r="Q140" i="40" s="1"/>
  <c r="P139" i="40"/>
  <c r="S139" i="40" s="1"/>
  <c r="O139" i="40"/>
  <c r="R139" i="40" s="1"/>
  <c r="N139" i="40"/>
  <c r="Q139" i="40" s="1"/>
  <c r="P138" i="40"/>
  <c r="S138" i="40" s="1"/>
  <c r="O138" i="40"/>
  <c r="R138" i="40" s="1"/>
  <c r="N138" i="40"/>
  <c r="Q138" i="40" s="1"/>
  <c r="P137" i="40"/>
  <c r="S137" i="40" s="1"/>
  <c r="O137" i="40"/>
  <c r="R137" i="40" s="1"/>
  <c r="N137" i="40"/>
  <c r="Q137" i="40" s="1"/>
  <c r="P136" i="40"/>
  <c r="S136" i="40" s="1"/>
  <c r="O136" i="40"/>
  <c r="R136" i="40" s="1"/>
  <c r="N136" i="40"/>
  <c r="Q136" i="40" s="1"/>
  <c r="P135" i="40"/>
  <c r="S135" i="40" s="1"/>
  <c r="O135" i="40"/>
  <c r="R135" i="40" s="1"/>
  <c r="N135" i="40"/>
  <c r="Q135" i="40" s="1"/>
  <c r="P134" i="40"/>
  <c r="S134" i="40" s="1"/>
  <c r="O134" i="40"/>
  <c r="R134" i="40" s="1"/>
  <c r="N134" i="40"/>
  <c r="Q134" i="40" s="1"/>
  <c r="P133" i="40"/>
  <c r="S133" i="40" s="1"/>
  <c r="O133" i="40"/>
  <c r="R133" i="40" s="1"/>
  <c r="N133" i="40"/>
  <c r="Q133" i="40" s="1"/>
  <c r="P132" i="40"/>
  <c r="S132" i="40" s="1"/>
  <c r="O132" i="40"/>
  <c r="R132" i="40" s="1"/>
  <c r="N132" i="40"/>
  <c r="Q132" i="40" s="1"/>
  <c r="P131" i="40"/>
  <c r="S131" i="40" s="1"/>
  <c r="O131" i="40"/>
  <c r="R131" i="40" s="1"/>
  <c r="N131" i="40"/>
  <c r="Q131" i="40" s="1"/>
  <c r="P130" i="40"/>
  <c r="S130" i="40" s="1"/>
  <c r="O130" i="40"/>
  <c r="R130" i="40" s="1"/>
  <c r="N130" i="40"/>
  <c r="Q130" i="40" s="1"/>
  <c r="P129" i="40"/>
  <c r="S129" i="40" s="1"/>
  <c r="O129" i="40"/>
  <c r="R129" i="40" s="1"/>
  <c r="N129" i="40"/>
  <c r="Q129" i="40" s="1"/>
  <c r="P128" i="40"/>
  <c r="S128" i="40" s="1"/>
  <c r="O128" i="40"/>
  <c r="R128" i="40" s="1"/>
  <c r="N128" i="40"/>
  <c r="Q128" i="40" s="1"/>
  <c r="P127" i="40"/>
  <c r="S127" i="40" s="1"/>
  <c r="O127" i="40"/>
  <c r="R127" i="40" s="1"/>
  <c r="N127" i="40"/>
  <c r="Q127" i="40" s="1"/>
  <c r="P126" i="40"/>
  <c r="S126" i="40" s="1"/>
  <c r="O126" i="40"/>
  <c r="R126" i="40" s="1"/>
  <c r="N126" i="40"/>
  <c r="Q126" i="40" s="1"/>
  <c r="P125" i="40"/>
  <c r="S125" i="40" s="1"/>
  <c r="O125" i="40"/>
  <c r="R125" i="40" s="1"/>
  <c r="N125" i="40"/>
  <c r="Q125" i="40" s="1"/>
  <c r="P124" i="40"/>
  <c r="S124" i="40" s="1"/>
  <c r="O124" i="40"/>
  <c r="R124" i="40" s="1"/>
  <c r="N124" i="40"/>
  <c r="Q124" i="40" s="1"/>
  <c r="P123" i="40"/>
  <c r="S123" i="40" s="1"/>
  <c r="O123" i="40"/>
  <c r="R123" i="40" s="1"/>
  <c r="N123" i="40"/>
  <c r="Q123" i="40" s="1"/>
  <c r="P122" i="40"/>
  <c r="S122" i="40" s="1"/>
  <c r="O122" i="40"/>
  <c r="R122" i="40" s="1"/>
  <c r="N122" i="40"/>
  <c r="Q122" i="40" s="1"/>
  <c r="P121" i="40"/>
  <c r="S121" i="40" s="1"/>
  <c r="O121" i="40"/>
  <c r="R121" i="40" s="1"/>
  <c r="N121" i="40"/>
  <c r="Q121" i="40" s="1"/>
  <c r="P120" i="40"/>
  <c r="S120" i="40" s="1"/>
  <c r="O120" i="40"/>
  <c r="R120" i="40" s="1"/>
  <c r="N120" i="40"/>
  <c r="Q120" i="40" s="1"/>
  <c r="P119" i="40"/>
  <c r="S119" i="40" s="1"/>
  <c r="O119" i="40"/>
  <c r="R119" i="40" s="1"/>
  <c r="N119" i="40"/>
  <c r="Q119" i="40" s="1"/>
  <c r="P118" i="40"/>
  <c r="S118" i="40" s="1"/>
  <c r="O118" i="40"/>
  <c r="R118" i="40" s="1"/>
  <c r="N118" i="40"/>
  <c r="Q118" i="40" s="1"/>
  <c r="P117" i="40"/>
  <c r="S117" i="40" s="1"/>
  <c r="O117" i="40"/>
  <c r="R117" i="40" s="1"/>
  <c r="N117" i="40"/>
  <c r="Q117" i="40" s="1"/>
  <c r="P116" i="40"/>
  <c r="S116" i="40" s="1"/>
  <c r="O116" i="40"/>
  <c r="R116" i="40" s="1"/>
  <c r="N116" i="40"/>
  <c r="Q116" i="40" s="1"/>
  <c r="P115" i="40"/>
  <c r="S115" i="40" s="1"/>
  <c r="O115" i="40"/>
  <c r="R115" i="40" s="1"/>
  <c r="N115" i="40"/>
  <c r="Q115" i="40" s="1"/>
  <c r="P114" i="40"/>
  <c r="S114" i="40" s="1"/>
  <c r="O114" i="40"/>
  <c r="R114" i="40" s="1"/>
  <c r="N114" i="40"/>
  <c r="Q114" i="40" s="1"/>
  <c r="P113" i="40"/>
  <c r="S113" i="40" s="1"/>
  <c r="O113" i="40"/>
  <c r="R113" i="40" s="1"/>
  <c r="N113" i="40"/>
  <c r="Q113" i="40" s="1"/>
  <c r="P112" i="40"/>
  <c r="S112" i="40" s="1"/>
  <c r="O112" i="40"/>
  <c r="R112" i="40" s="1"/>
  <c r="N112" i="40"/>
  <c r="Q112" i="40" s="1"/>
  <c r="P111" i="40"/>
  <c r="S111" i="40" s="1"/>
  <c r="O111" i="40"/>
  <c r="R111" i="40" s="1"/>
  <c r="N111" i="40"/>
  <c r="Q111" i="40" s="1"/>
  <c r="P110" i="40"/>
  <c r="S110" i="40" s="1"/>
  <c r="O110" i="40"/>
  <c r="R110" i="40" s="1"/>
  <c r="N110" i="40"/>
  <c r="Q110" i="40" s="1"/>
  <c r="P109" i="40"/>
  <c r="S109" i="40" s="1"/>
  <c r="O109" i="40"/>
  <c r="R109" i="40" s="1"/>
  <c r="N109" i="40"/>
  <c r="Q109" i="40" s="1"/>
  <c r="P108" i="40"/>
  <c r="S108" i="40" s="1"/>
  <c r="O108" i="40"/>
  <c r="R108" i="40" s="1"/>
  <c r="N108" i="40"/>
  <c r="Q108" i="40" s="1"/>
  <c r="P107" i="40"/>
  <c r="S107" i="40" s="1"/>
  <c r="O107" i="40"/>
  <c r="R107" i="40" s="1"/>
  <c r="N107" i="40"/>
  <c r="Q107" i="40" s="1"/>
  <c r="P106" i="40"/>
  <c r="S106" i="40" s="1"/>
  <c r="O106" i="40"/>
  <c r="R106" i="40" s="1"/>
  <c r="N106" i="40"/>
  <c r="Q106" i="40" s="1"/>
  <c r="P105" i="40"/>
  <c r="S105" i="40" s="1"/>
  <c r="O105" i="40"/>
  <c r="R105" i="40" s="1"/>
  <c r="N105" i="40"/>
  <c r="Q105" i="40" s="1"/>
  <c r="P104" i="40"/>
  <c r="S104" i="40" s="1"/>
  <c r="O104" i="40"/>
  <c r="R104" i="40" s="1"/>
  <c r="N104" i="40"/>
  <c r="Q104" i="40" s="1"/>
  <c r="P103" i="40"/>
  <c r="S103" i="40" s="1"/>
  <c r="O103" i="40"/>
  <c r="R103" i="40" s="1"/>
  <c r="N103" i="40"/>
  <c r="Q103" i="40" s="1"/>
  <c r="P102" i="40"/>
  <c r="S102" i="40" s="1"/>
  <c r="O102" i="40"/>
  <c r="R102" i="40" s="1"/>
  <c r="N102" i="40"/>
  <c r="Q102" i="40" s="1"/>
  <c r="P101" i="40"/>
  <c r="S101" i="40" s="1"/>
  <c r="O101" i="40"/>
  <c r="R101" i="40" s="1"/>
  <c r="N101" i="40"/>
  <c r="Q101" i="40" s="1"/>
  <c r="P100" i="40"/>
  <c r="S100" i="40" s="1"/>
  <c r="O100" i="40"/>
  <c r="R100" i="40" s="1"/>
  <c r="N100" i="40"/>
  <c r="Q100" i="40" s="1"/>
  <c r="P99" i="40"/>
  <c r="S99" i="40" s="1"/>
  <c r="O99" i="40"/>
  <c r="R99" i="40" s="1"/>
  <c r="N99" i="40"/>
  <c r="Q99" i="40" s="1"/>
  <c r="P98" i="40"/>
  <c r="S98" i="40" s="1"/>
  <c r="O98" i="40"/>
  <c r="R98" i="40" s="1"/>
  <c r="N98" i="40"/>
  <c r="Q98" i="40" s="1"/>
  <c r="P97" i="40"/>
  <c r="S97" i="40" s="1"/>
  <c r="O97" i="40"/>
  <c r="R97" i="40" s="1"/>
  <c r="N97" i="40"/>
  <c r="Q97" i="40" s="1"/>
  <c r="P96" i="40"/>
  <c r="S96" i="40" s="1"/>
  <c r="O96" i="40"/>
  <c r="R96" i="40" s="1"/>
  <c r="N96" i="40"/>
  <c r="Q96" i="40" s="1"/>
  <c r="P95" i="40"/>
  <c r="S95" i="40" s="1"/>
  <c r="O95" i="40"/>
  <c r="R95" i="40" s="1"/>
  <c r="N95" i="40"/>
  <c r="Q95" i="40" s="1"/>
  <c r="P94" i="40"/>
  <c r="S94" i="40" s="1"/>
  <c r="O94" i="40"/>
  <c r="R94" i="40" s="1"/>
  <c r="N94" i="40"/>
  <c r="Q94" i="40" s="1"/>
  <c r="P93" i="40"/>
  <c r="S93" i="40" s="1"/>
  <c r="O93" i="40"/>
  <c r="R93" i="40" s="1"/>
  <c r="N93" i="40"/>
  <c r="Q93" i="40" s="1"/>
  <c r="P92" i="40"/>
  <c r="S92" i="40" s="1"/>
  <c r="O92" i="40"/>
  <c r="R92" i="40" s="1"/>
  <c r="N92" i="40"/>
  <c r="Q92" i="40" s="1"/>
  <c r="P91" i="40"/>
  <c r="S91" i="40" s="1"/>
  <c r="O91" i="40"/>
  <c r="R91" i="40" s="1"/>
  <c r="N91" i="40"/>
  <c r="Q91" i="40" s="1"/>
  <c r="P90" i="40"/>
  <c r="S90" i="40" s="1"/>
  <c r="O90" i="40"/>
  <c r="R90" i="40" s="1"/>
  <c r="N90" i="40"/>
  <c r="Q90" i="40" s="1"/>
  <c r="P89" i="40"/>
  <c r="S89" i="40" s="1"/>
  <c r="O89" i="40"/>
  <c r="R89" i="40" s="1"/>
  <c r="N89" i="40"/>
  <c r="Q89" i="40" s="1"/>
  <c r="P88" i="40"/>
  <c r="S88" i="40" s="1"/>
  <c r="O88" i="40"/>
  <c r="R88" i="40" s="1"/>
  <c r="N88" i="40"/>
  <c r="Q88" i="40" s="1"/>
  <c r="P87" i="40"/>
  <c r="S87" i="40" s="1"/>
  <c r="O87" i="40"/>
  <c r="R87" i="40" s="1"/>
  <c r="N87" i="40"/>
  <c r="Q87" i="40" s="1"/>
  <c r="P86" i="40"/>
  <c r="S86" i="40" s="1"/>
  <c r="O86" i="40"/>
  <c r="R86" i="40" s="1"/>
  <c r="N86" i="40"/>
  <c r="Q86" i="40" s="1"/>
  <c r="P85" i="40"/>
  <c r="S85" i="40" s="1"/>
  <c r="O85" i="40"/>
  <c r="R85" i="40" s="1"/>
  <c r="N85" i="40"/>
  <c r="Q85" i="40" s="1"/>
  <c r="P84" i="40"/>
  <c r="S84" i="40" s="1"/>
  <c r="O84" i="40"/>
  <c r="R84" i="40" s="1"/>
  <c r="N84" i="40"/>
  <c r="Q84" i="40" s="1"/>
  <c r="P83" i="40"/>
  <c r="S83" i="40" s="1"/>
  <c r="O83" i="40"/>
  <c r="R83" i="40" s="1"/>
  <c r="N83" i="40"/>
  <c r="Q83" i="40" s="1"/>
  <c r="P82" i="40"/>
  <c r="S82" i="40" s="1"/>
  <c r="O82" i="40"/>
  <c r="R82" i="40" s="1"/>
  <c r="N82" i="40"/>
  <c r="Q82" i="40" s="1"/>
  <c r="P81" i="40"/>
  <c r="S81" i="40" s="1"/>
  <c r="O81" i="40"/>
  <c r="R81" i="40" s="1"/>
  <c r="N81" i="40"/>
  <c r="Q81" i="40" s="1"/>
  <c r="P80" i="40"/>
  <c r="S80" i="40" s="1"/>
  <c r="O80" i="40"/>
  <c r="R80" i="40" s="1"/>
  <c r="N80" i="40"/>
  <c r="Q80" i="40" s="1"/>
  <c r="P79" i="40"/>
  <c r="S79" i="40" s="1"/>
  <c r="O79" i="40"/>
  <c r="R79" i="40" s="1"/>
  <c r="N79" i="40"/>
  <c r="Q79" i="40" s="1"/>
  <c r="P78" i="40"/>
  <c r="S78" i="40" s="1"/>
  <c r="O78" i="40"/>
  <c r="R78" i="40" s="1"/>
  <c r="N78" i="40"/>
  <c r="Q78" i="40" s="1"/>
  <c r="P77" i="40"/>
  <c r="S77" i="40" s="1"/>
  <c r="O77" i="40"/>
  <c r="R77" i="40" s="1"/>
  <c r="N77" i="40"/>
  <c r="Q77" i="40" s="1"/>
  <c r="P76" i="40"/>
  <c r="S76" i="40" s="1"/>
  <c r="O76" i="40"/>
  <c r="R76" i="40" s="1"/>
  <c r="N76" i="40"/>
  <c r="Q76" i="40" s="1"/>
  <c r="P75" i="40"/>
  <c r="S75" i="40" s="1"/>
  <c r="O75" i="40"/>
  <c r="R75" i="40" s="1"/>
  <c r="N75" i="40"/>
  <c r="Q75" i="40" s="1"/>
  <c r="P74" i="40"/>
  <c r="S74" i="40" s="1"/>
  <c r="O74" i="40"/>
  <c r="R74" i="40" s="1"/>
  <c r="N74" i="40"/>
  <c r="Q74" i="40" s="1"/>
  <c r="P73" i="40"/>
  <c r="S73" i="40" s="1"/>
  <c r="O73" i="40"/>
  <c r="R73" i="40" s="1"/>
  <c r="N73" i="40"/>
  <c r="Q73" i="40" s="1"/>
  <c r="P72" i="40"/>
  <c r="S72" i="40" s="1"/>
  <c r="O72" i="40"/>
  <c r="R72" i="40" s="1"/>
  <c r="N72" i="40"/>
  <c r="Q72" i="40" s="1"/>
  <c r="P71" i="40"/>
  <c r="S71" i="40" s="1"/>
  <c r="O71" i="40"/>
  <c r="R71" i="40" s="1"/>
  <c r="N71" i="40"/>
  <c r="Q71" i="40" s="1"/>
  <c r="P70" i="40"/>
  <c r="S70" i="40" s="1"/>
  <c r="O70" i="40"/>
  <c r="R70" i="40" s="1"/>
  <c r="N70" i="40"/>
  <c r="Q70" i="40" s="1"/>
  <c r="P69" i="40"/>
  <c r="S69" i="40" s="1"/>
  <c r="O69" i="40"/>
  <c r="R69" i="40" s="1"/>
  <c r="N69" i="40"/>
  <c r="Q69" i="40" s="1"/>
  <c r="P68" i="40"/>
  <c r="S68" i="40" s="1"/>
  <c r="O68" i="40"/>
  <c r="R68" i="40" s="1"/>
  <c r="N68" i="40"/>
  <c r="Q68" i="40" s="1"/>
  <c r="P67" i="40"/>
  <c r="S67" i="40" s="1"/>
  <c r="O67" i="40"/>
  <c r="R67" i="40" s="1"/>
  <c r="N67" i="40"/>
  <c r="Q67" i="40" s="1"/>
  <c r="P66" i="40"/>
  <c r="S66" i="40" s="1"/>
  <c r="O66" i="40"/>
  <c r="R66" i="40" s="1"/>
  <c r="N66" i="40"/>
  <c r="Q66" i="40" s="1"/>
  <c r="P65" i="40"/>
  <c r="S65" i="40" s="1"/>
  <c r="O65" i="40"/>
  <c r="R65" i="40" s="1"/>
  <c r="N65" i="40"/>
  <c r="Q65" i="40" s="1"/>
  <c r="P64" i="40"/>
  <c r="S64" i="40" s="1"/>
  <c r="O64" i="40"/>
  <c r="R64" i="40" s="1"/>
  <c r="N64" i="40"/>
  <c r="Q64" i="40" s="1"/>
  <c r="P63" i="40"/>
  <c r="S63" i="40" s="1"/>
  <c r="O63" i="40"/>
  <c r="R63" i="40" s="1"/>
  <c r="N63" i="40"/>
  <c r="Q63" i="40" s="1"/>
  <c r="P62" i="40"/>
  <c r="S62" i="40" s="1"/>
  <c r="O62" i="40"/>
  <c r="R62" i="40" s="1"/>
  <c r="N62" i="40"/>
  <c r="Q62" i="40" s="1"/>
  <c r="P61" i="40"/>
  <c r="S61" i="40" s="1"/>
  <c r="O61" i="40"/>
  <c r="R61" i="40" s="1"/>
  <c r="N61" i="40"/>
  <c r="Q61" i="40" s="1"/>
  <c r="P60" i="40"/>
  <c r="S60" i="40" s="1"/>
  <c r="O60" i="40"/>
  <c r="R60" i="40" s="1"/>
  <c r="N60" i="40"/>
  <c r="Q60" i="40" s="1"/>
  <c r="P59" i="40"/>
  <c r="S59" i="40" s="1"/>
  <c r="O59" i="40"/>
  <c r="R59" i="40" s="1"/>
  <c r="N59" i="40"/>
  <c r="Q59" i="40" s="1"/>
  <c r="P58" i="40"/>
  <c r="S58" i="40" s="1"/>
  <c r="O58" i="40"/>
  <c r="R58" i="40" s="1"/>
  <c r="N58" i="40"/>
  <c r="Q58" i="40" s="1"/>
  <c r="P57" i="40"/>
  <c r="S57" i="40" s="1"/>
  <c r="O57" i="40"/>
  <c r="R57" i="40" s="1"/>
  <c r="N57" i="40"/>
  <c r="Q57" i="40" s="1"/>
  <c r="P56" i="40"/>
  <c r="S56" i="40" s="1"/>
  <c r="O56" i="40"/>
  <c r="R56" i="40" s="1"/>
  <c r="N56" i="40"/>
  <c r="Q56" i="40" s="1"/>
  <c r="P55" i="40"/>
  <c r="S55" i="40" s="1"/>
  <c r="O55" i="40"/>
  <c r="R55" i="40" s="1"/>
  <c r="N55" i="40"/>
  <c r="Q55" i="40" s="1"/>
  <c r="P54" i="40"/>
  <c r="S54" i="40" s="1"/>
  <c r="O54" i="40"/>
  <c r="R54" i="40" s="1"/>
  <c r="N54" i="40"/>
  <c r="Q54" i="40" s="1"/>
  <c r="P53" i="40"/>
  <c r="S53" i="40" s="1"/>
  <c r="O53" i="40"/>
  <c r="R53" i="40" s="1"/>
  <c r="N53" i="40"/>
  <c r="Q53" i="40" s="1"/>
  <c r="P52" i="40"/>
  <c r="S52" i="40" s="1"/>
  <c r="O52" i="40"/>
  <c r="R52" i="40" s="1"/>
  <c r="N52" i="40"/>
  <c r="Q52" i="40" s="1"/>
  <c r="P51" i="40"/>
  <c r="S51" i="40" s="1"/>
  <c r="O51" i="40"/>
  <c r="R51" i="40" s="1"/>
  <c r="N51" i="40"/>
  <c r="Q51" i="40" s="1"/>
  <c r="P50" i="40"/>
  <c r="S50" i="40" s="1"/>
  <c r="O50" i="40"/>
  <c r="R50" i="40" s="1"/>
  <c r="N50" i="40"/>
  <c r="Q50" i="40" s="1"/>
  <c r="P49" i="40"/>
  <c r="S49" i="40" s="1"/>
  <c r="O49" i="40"/>
  <c r="R49" i="40" s="1"/>
  <c r="N49" i="40"/>
  <c r="Q49" i="40" s="1"/>
  <c r="P48" i="40"/>
  <c r="S48" i="40" s="1"/>
  <c r="O48" i="40"/>
  <c r="R48" i="40" s="1"/>
  <c r="N48" i="40"/>
  <c r="Q48" i="40" s="1"/>
  <c r="P47" i="40"/>
  <c r="S47" i="40" s="1"/>
  <c r="O47" i="40"/>
  <c r="R47" i="40" s="1"/>
  <c r="N47" i="40"/>
  <c r="Q47" i="40" s="1"/>
  <c r="P46" i="40"/>
  <c r="S46" i="40" s="1"/>
  <c r="O46" i="40"/>
  <c r="R46" i="40" s="1"/>
  <c r="N46" i="40"/>
  <c r="Q46" i="40" s="1"/>
  <c r="P45" i="40"/>
  <c r="S45" i="40" s="1"/>
  <c r="O45" i="40"/>
  <c r="R45" i="40" s="1"/>
  <c r="N45" i="40"/>
  <c r="Q45" i="40" s="1"/>
  <c r="P44" i="40"/>
  <c r="S44" i="40" s="1"/>
  <c r="O44" i="40"/>
  <c r="R44" i="40" s="1"/>
  <c r="N44" i="40"/>
  <c r="Q44" i="40" s="1"/>
  <c r="P43" i="40"/>
  <c r="S43" i="40" s="1"/>
  <c r="O43" i="40"/>
  <c r="R43" i="40" s="1"/>
  <c r="N43" i="40"/>
  <c r="Q43" i="40" s="1"/>
  <c r="P42" i="40"/>
  <c r="S42" i="40" s="1"/>
  <c r="O42" i="40"/>
  <c r="R42" i="40" s="1"/>
  <c r="N42" i="40"/>
  <c r="Q42" i="40" s="1"/>
  <c r="P41" i="40"/>
  <c r="S41" i="40" s="1"/>
  <c r="O41" i="40"/>
  <c r="R41" i="40" s="1"/>
  <c r="N41" i="40"/>
  <c r="Q41" i="40" s="1"/>
  <c r="P40" i="40"/>
  <c r="S40" i="40" s="1"/>
  <c r="O40" i="40"/>
  <c r="R40" i="40" s="1"/>
  <c r="N40" i="40"/>
  <c r="Q40" i="40" s="1"/>
  <c r="P39" i="40"/>
  <c r="S39" i="40" s="1"/>
  <c r="O39" i="40"/>
  <c r="R39" i="40" s="1"/>
  <c r="N39" i="40"/>
  <c r="Q39" i="40" s="1"/>
  <c r="P38" i="40"/>
  <c r="S38" i="40" s="1"/>
  <c r="O38" i="40"/>
  <c r="R38" i="40" s="1"/>
  <c r="N38" i="40"/>
  <c r="Q38" i="40" s="1"/>
  <c r="P37" i="40"/>
  <c r="S37" i="40" s="1"/>
  <c r="O37" i="40"/>
  <c r="R37" i="40" s="1"/>
  <c r="N37" i="40"/>
  <c r="Q37" i="40" s="1"/>
  <c r="P36" i="40"/>
  <c r="S36" i="40" s="1"/>
  <c r="O36" i="40"/>
  <c r="R36" i="40" s="1"/>
  <c r="N36" i="40"/>
  <c r="Q36" i="40" s="1"/>
  <c r="P35" i="40"/>
  <c r="S35" i="40" s="1"/>
  <c r="O35" i="40"/>
  <c r="R35" i="40" s="1"/>
  <c r="N35" i="40"/>
  <c r="Q35" i="40" s="1"/>
  <c r="P34" i="40"/>
  <c r="S34" i="40" s="1"/>
  <c r="O34" i="40"/>
  <c r="R34" i="40" s="1"/>
  <c r="N34" i="40"/>
  <c r="Q34" i="40" s="1"/>
  <c r="P33" i="40"/>
  <c r="S33" i="40" s="1"/>
  <c r="O33" i="40"/>
  <c r="R33" i="40" s="1"/>
  <c r="N33" i="40"/>
  <c r="Q33" i="40" s="1"/>
  <c r="P32" i="40"/>
  <c r="S32" i="40" s="1"/>
  <c r="O32" i="40"/>
  <c r="R32" i="40" s="1"/>
  <c r="N32" i="40"/>
  <c r="Q32" i="40" s="1"/>
  <c r="P31" i="40"/>
  <c r="S31" i="40" s="1"/>
  <c r="O31" i="40"/>
  <c r="R31" i="40" s="1"/>
  <c r="N31" i="40"/>
  <c r="Q31" i="40" s="1"/>
  <c r="P30" i="40"/>
  <c r="S30" i="40" s="1"/>
  <c r="O30" i="40"/>
  <c r="R30" i="40" s="1"/>
  <c r="N30" i="40"/>
  <c r="Q30" i="40" s="1"/>
  <c r="P29" i="40"/>
  <c r="S29" i="40" s="1"/>
  <c r="O29" i="40"/>
  <c r="R29" i="40" s="1"/>
  <c r="N29" i="40"/>
  <c r="Q29" i="40" s="1"/>
  <c r="P28" i="40"/>
  <c r="S28" i="40" s="1"/>
  <c r="O28" i="40"/>
  <c r="R28" i="40" s="1"/>
  <c r="N28" i="40"/>
  <c r="Q28" i="40" s="1"/>
  <c r="P27" i="40"/>
  <c r="S27" i="40" s="1"/>
  <c r="O27" i="40"/>
  <c r="R27" i="40" s="1"/>
  <c r="N27" i="40"/>
  <c r="Q27" i="40" s="1"/>
  <c r="P26" i="40"/>
  <c r="S26" i="40" s="1"/>
  <c r="O26" i="40"/>
  <c r="R26" i="40" s="1"/>
  <c r="N26" i="40"/>
  <c r="Q26" i="40" s="1"/>
  <c r="P25" i="40"/>
  <c r="S25" i="40" s="1"/>
  <c r="O25" i="40"/>
  <c r="R25" i="40" s="1"/>
  <c r="N25" i="40"/>
  <c r="Q25" i="40" s="1"/>
  <c r="P24" i="40"/>
  <c r="S24" i="40" s="1"/>
  <c r="O24" i="40"/>
  <c r="R24" i="40" s="1"/>
  <c r="N24" i="40"/>
  <c r="Q24" i="40" s="1"/>
  <c r="P23" i="40"/>
  <c r="S23" i="40" s="1"/>
  <c r="O23" i="40"/>
  <c r="R23" i="40" s="1"/>
  <c r="N23" i="40"/>
  <c r="Q23" i="40" s="1"/>
  <c r="P22" i="40"/>
  <c r="S22" i="40" s="1"/>
  <c r="O22" i="40"/>
  <c r="R22" i="40" s="1"/>
  <c r="N22" i="40"/>
  <c r="Q22" i="40" s="1"/>
  <c r="P21" i="40"/>
  <c r="S21" i="40" s="1"/>
  <c r="O21" i="40"/>
  <c r="R21" i="40" s="1"/>
  <c r="N21" i="40"/>
  <c r="Q21" i="40" s="1"/>
  <c r="P20" i="40"/>
  <c r="S20" i="40" s="1"/>
  <c r="O20" i="40"/>
  <c r="R20" i="40" s="1"/>
  <c r="N20" i="40"/>
  <c r="Q20" i="40" s="1"/>
  <c r="P19" i="40"/>
  <c r="S19" i="40" s="1"/>
  <c r="O19" i="40"/>
  <c r="R19" i="40" s="1"/>
  <c r="N19" i="40"/>
  <c r="Q19" i="40" s="1"/>
  <c r="P18" i="40"/>
  <c r="S18" i="40" s="1"/>
  <c r="O18" i="40"/>
  <c r="R18" i="40" s="1"/>
  <c r="N18" i="40"/>
  <c r="Q18" i="40" s="1"/>
  <c r="P17" i="40"/>
  <c r="S17" i="40" s="1"/>
  <c r="O17" i="40"/>
  <c r="R17" i="40" s="1"/>
  <c r="N17" i="40"/>
  <c r="Q17" i="40" s="1"/>
  <c r="P16" i="40"/>
  <c r="S16" i="40" s="1"/>
  <c r="O16" i="40"/>
  <c r="R16" i="40" s="1"/>
  <c r="N16" i="40"/>
  <c r="Q16" i="40" s="1"/>
  <c r="P15" i="40"/>
  <c r="S15" i="40" s="1"/>
  <c r="O15" i="40"/>
  <c r="R15" i="40" s="1"/>
  <c r="N15" i="40"/>
  <c r="Q15" i="40" s="1"/>
  <c r="P14" i="40"/>
  <c r="S14" i="40" s="1"/>
  <c r="O14" i="40"/>
  <c r="R14" i="40" s="1"/>
  <c r="N14" i="40"/>
  <c r="Q14" i="40" s="1"/>
  <c r="P13" i="40"/>
  <c r="S13" i="40" s="1"/>
  <c r="O13" i="40"/>
  <c r="R13" i="40" s="1"/>
  <c r="N13" i="40"/>
  <c r="Q13" i="40" s="1"/>
  <c r="P12" i="40"/>
  <c r="S12" i="40" s="1"/>
  <c r="O12" i="40"/>
  <c r="R12" i="40" s="1"/>
  <c r="N12" i="40"/>
  <c r="Q12" i="40" s="1"/>
  <c r="P11" i="40"/>
  <c r="S11" i="40" s="1"/>
  <c r="O11" i="40"/>
  <c r="R11" i="40" s="1"/>
  <c r="N11" i="40"/>
  <c r="Q11" i="40" s="1"/>
  <c r="P10" i="40"/>
  <c r="S10" i="40" s="1"/>
  <c r="O10" i="40"/>
  <c r="R10" i="40" s="1"/>
  <c r="N10" i="40"/>
  <c r="Q10" i="40" s="1"/>
  <c r="P9" i="40"/>
  <c r="S9" i="40" s="1"/>
  <c r="O9" i="40"/>
  <c r="R9" i="40" s="1"/>
  <c r="N9" i="40"/>
  <c r="Q9" i="40" s="1"/>
  <c r="P8" i="40"/>
  <c r="S8" i="40" s="1"/>
  <c r="O8" i="40"/>
  <c r="R8" i="40" s="1"/>
  <c r="N8" i="40"/>
  <c r="Q8" i="40" s="1"/>
  <c r="P7" i="40"/>
  <c r="S7" i="40" s="1"/>
  <c r="O7" i="40"/>
  <c r="R7" i="40" s="1"/>
  <c r="N7" i="40"/>
  <c r="Q7" i="40" s="1"/>
  <c r="P6" i="40"/>
  <c r="S6" i="40" s="1"/>
  <c r="O6" i="40"/>
  <c r="R6" i="40" s="1"/>
  <c r="N6" i="40"/>
  <c r="Q6" i="40" s="1"/>
  <c r="P5" i="40"/>
  <c r="S5" i="40" s="1"/>
  <c r="O5" i="40"/>
  <c r="R5" i="40" s="1"/>
  <c r="N5" i="40"/>
  <c r="Q5" i="40" s="1"/>
  <c r="P4" i="40"/>
  <c r="S4" i="40" s="1"/>
  <c r="O4" i="40"/>
  <c r="R4" i="40" s="1"/>
  <c r="N4" i="40"/>
  <c r="Q4" i="40" s="1"/>
  <c r="P3" i="40"/>
  <c r="S3" i="40" s="1"/>
  <c r="O3" i="40"/>
  <c r="R3" i="40" s="1"/>
  <c r="N3" i="40"/>
  <c r="Q3" i="40" s="1"/>
  <c r="P2" i="40"/>
  <c r="S2" i="40" s="1"/>
  <c r="O2" i="40"/>
  <c r="R2" i="40" s="1"/>
  <c r="N2" i="40"/>
  <c r="Q2" i="40" s="1"/>
  <c r="O17" i="42" l="1"/>
  <c r="O16" i="42"/>
  <c r="O18" i="42"/>
  <c r="T274" i="40"/>
  <c r="W5" i="40"/>
  <c r="W2" i="40"/>
  <c r="W6" i="40"/>
  <c r="W3" i="40"/>
  <c r="W7" i="40"/>
  <c r="W4" i="40"/>
  <c r="T273" i="40"/>
  <c r="U273" i="40" s="1"/>
  <c r="T272" i="40"/>
  <c r="U272" i="40" s="1"/>
  <c r="T270" i="40"/>
  <c r="X270" i="40" s="1"/>
  <c r="T271" i="40"/>
  <c r="U271" i="40" s="1"/>
  <c r="T269" i="40"/>
  <c r="U269" i="40" s="1"/>
  <c r="T268" i="40"/>
  <c r="X268" i="40" s="1"/>
  <c r="T265" i="40"/>
  <c r="U265" i="40" s="1"/>
  <c r="T256" i="40"/>
  <c r="X256" i="40" s="1"/>
  <c r="T264" i="40"/>
  <c r="X264" i="40" s="1"/>
  <c r="T262" i="40"/>
  <c r="U262" i="40" s="1"/>
  <c r="T261" i="40"/>
  <c r="X261" i="40" s="1"/>
  <c r="T252" i="40"/>
  <c r="T214" i="40"/>
  <c r="X214" i="40" s="1"/>
  <c r="T254" i="40"/>
  <c r="T230" i="40"/>
  <c r="U230" i="40" s="1"/>
  <c r="T199" i="40"/>
  <c r="U199" i="40" s="1"/>
  <c r="T207" i="40"/>
  <c r="X207" i="40" s="1"/>
  <c r="T251" i="40"/>
  <c r="X251" i="40" s="1"/>
  <c r="T217" i="40"/>
  <c r="X217" i="40" s="1"/>
  <c r="T257" i="40"/>
  <c r="X257" i="40" s="1"/>
  <c r="T255" i="40"/>
  <c r="U255" i="40" s="1"/>
  <c r="T249" i="40"/>
  <c r="X249" i="40" s="1"/>
  <c r="T247" i="40"/>
  <c r="X247" i="40" s="1"/>
  <c r="T245" i="40"/>
  <c r="U245" i="40" s="1"/>
  <c r="T243" i="40"/>
  <c r="X243" i="40" s="1"/>
  <c r="T233" i="40"/>
  <c r="U233" i="40" s="1"/>
  <c r="T228" i="40"/>
  <c r="U228" i="40" s="1"/>
  <c r="T227" i="40"/>
  <c r="T225" i="40"/>
  <c r="X225" i="40" s="1"/>
  <c r="T223" i="40"/>
  <c r="X223" i="40" s="1"/>
  <c r="T221" i="40"/>
  <c r="U221" i="40" s="1"/>
  <c r="T219" i="40"/>
  <c r="U219" i="40" s="1"/>
  <c r="T216" i="40"/>
  <c r="U216" i="40" s="1"/>
  <c r="T213" i="40"/>
  <c r="U213" i="40" s="1"/>
  <c r="T211" i="40"/>
  <c r="U211" i="40" s="1"/>
  <c r="T209" i="40"/>
  <c r="T206" i="40"/>
  <c r="X206" i="40" s="1"/>
  <c r="T205" i="40"/>
  <c r="U205" i="40" s="1"/>
  <c r="T253" i="40"/>
  <c r="U253" i="40" s="1"/>
  <c r="T248" i="40"/>
  <c r="U248" i="40" s="1"/>
  <c r="T246" i="40"/>
  <c r="X246" i="40" s="1"/>
  <c r="T244" i="40"/>
  <c r="X244" i="40" s="1"/>
  <c r="T226" i="40"/>
  <c r="U226" i="40" s="1"/>
  <c r="T224" i="40"/>
  <c r="T222" i="40"/>
  <c r="X222" i="40" s="1"/>
  <c r="T220" i="40"/>
  <c r="T212" i="40"/>
  <c r="X212" i="40" s="1"/>
  <c r="T200" i="40"/>
  <c r="X200" i="40" s="1"/>
  <c r="T185" i="40"/>
  <c r="U185" i="40" s="1"/>
  <c r="T182" i="40"/>
  <c r="X182" i="40" s="1"/>
  <c r="T176" i="40"/>
  <c r="X176" i="40" s="1"/>
  <c r="T174" i="40"/>
  <c r="X174" i="40" s="1"/>
  <c r="T172" i="40"/>
  <c r="X172" i="40" s="1"/>
  <c r="T166" i="40"/>
  <c r="X166" i="40" s="1"/>
  <c r="T153" i="40"/>
  <c r="U153" i="40" s="1"/>
  <c r="T149" i="40"/>
  <c r="U149" i="40" s="1"/>
  <c r="T139" i="40"/>
  <c r="U139" i="40" s="1"/>
  <c r="T126" i="40"/>
  <c r="U126" i="40" s="1"/>
  <c r="T113" i="40"/>
  <c r="T102" i="40"/>
  <c r="T90" i="40"/>
  <c r="X90" i="40" s="1"/>
  <c r="T83" i="40"/>
  <c r="U83" i="40" s="1"/>
  <c r="T81" i="40"/>
  <c r="U81" i="40" s="1"/>
  <c r="T78" i="40"/>
  <c r="U78" i="40" s="1"/>
  <c r="T75" i="40"/>
  <c r="U75" i="40" s="1"/>
  <c r="T72" i="40"/>
  <c r="X72" i="40" s="1"/>
  <c r="T70" i="40"/>
  <c r="U70" i="40" s="1"/>
  <c r="T63" i="40"/>
  <c r="T61" i="40"/>
  <c r="X61" i="40" s="1"/>
  <c r="T25" i="40"/>
  <c r="U25" i="40" s="1"/>
  <c r="T5" i="40"/>
  <c r="X5" i="40" s="1"/>
  <c r="T3" i="40"/>
  <c r="U3" i="40" s="1"/>
  <c r="T198" i="40"/>
  <c r="T188" i="40"/>
  <c r="X188" i="40" s="1"/>
  <c r="T183" i="40"/>
  <c r="X183" i="40" s="1"/>
  <c r="T178" i="40"/>
  <c r="X178" i="40" s="1"/>
  <c r="T173" i="40"/>
  <c r="U173" i="40" s="1"/>
  <c r="T154" i="40"/>
  <c r="U154" i="40" s="1"/>
  <c r="T148" i="40"/>
  <c r="U148" i="40" s="1"/>
  <c r="T138" i="40"/>
  <c r="X138" i="40" s="1"/>
  <c r="T128" i="40"/>
  <c r="X128" i="40" s="1"/>
  <c r="T123" i="40"/>
  <c r="U123" i="40" s="1"/>
  <c r="T103" i="40"/>
  <c r="X103" i="40" s="1"/>
  <c r="T100" i="40"/>
  <c r="X100" i="40" s="1"/>
  <c r="T98" i="40"/>
  <c r="X98" i="40" s="1"/>
  <c r="T96" i="40"/>
  <c r="T94" i="40"/>
  <c r="U94" i="40" s="1"/>
  <c r="T88" i="40"/>
  <c r="X88" i="40" s="1"/>
  <c r="T202" i="40"/>
  <c r="T194" i="40"/>
  <c r="U194" i="40" s="1"/>
  <c r="T146" i="40"/>
  <c r="X146" i="40" s="1"/>
  <c r="T137" i="40"/>
  <c r="X137" i="40" s="1"/>
  <c r="T134" i="40"/>
  <c r="T132" i="40"/>
  <c r="X132" i="40" s="1"/>
  <c r="T131" i="40"/>
  <c r="T124" i="40"/>
  <c r="T110" i="40"/>
  <c r="X110" i="40" s="1"/>
  <c r="T108" i="40"/>
  <c r="X108" i="40" s="1"/>
  <c r="T87" i="40"/>
  <c r="U87" i="40" s="1"/>
  <c r="T86" i="40"/>
  <c r="U86" i="40" s="1"/>
  <c r="T82" i="40"/>
  <c r="X82" i="40" s="1"/>
  <c r="T80" i="40"/>
  <c r="X80" i="40" s="1"/>
  <c r="T55" i="40"/>
  <c r="X55" i="40" s="1"/>
  <c r="T50" i="40"/>
  <c r="X50" i="40" s="1"/>
  <c r="T19" i="40"/>
  <c r="X19" i="40" s="1"/>
  <c r="T17" i="40"/>
  <c r="T15" i="40"/>
  <c r="X15" i="40" s="1"/>
  <c r="T10" i="40"/>
  <c r="T2" i="40"/>
  <c r="U2" i="40" s="1"/>
  <c r="T191" i="40"/>
  <c r="X191" i="40" s="1"/>
  <c r="T165" i="40"/>
  <c r="X165" i="40" s="1"/>
  <c r="T156" i="40"/>
  <c r="X156" i="40" s="1"/>
  <c r="T150" i="40"/>
  <c r="T144" i="40"/>
  <c r="T141" i="40"/>
  <c r="X141" i="40" s="1"/>
  <c r="T136" i="40"/>
  <c r="X136" i="40" s="1"/>
  <c r="T130" i="40"/>
  <c r="U130" i="40" s="1"/>
  <c r="T119" i="40"/>
  <c r="T116" i="40"/>
  <c r="T105" i="40"/>
  <c r="T95" i="40"/>
  <c r="X95" i="40" s="1"/>
  <c r="T91" i="40"/>
  <c r="X91" i="40" s="1"/>
  <c r="T59" i="40"/>
  <c r="U59" i="40" s="1"/>
  <c r="T48" i="40"/>
  <c r="U48" i="40" s="1"/>
  <c r="T46" i="40"/>
  <c r="U46" i="40" s="1"/>
  <c r="T41" i="40"/>
  <c r="X41" i="40" s="1"/>
  <c r="T38" i="40"/>
  <c r="U38" i="40" s="1"/>
  <c r="T36" i="40"/>
  <c r="T29" i="40"/>
  <c r="U29" i="40" s="1"/>
  <c r="T27" i="40"/>
  <c r="U27" i="40" s="1"/>
  <c r="T16" i="40"/>
  <c r="T14" i="40"/>
  <c r="T201" i="40"/>
  <c r="X201" i="40" s="1"/>
  <c r="T195" i="40"/>
  <c r="U195" i="40" s="1"/>
  <c r="T192" i="40"/>
  <c r="X192" i="40" s="1"/>
  <c r="T181" i="40"/>
  <c r="X181" i="40" s="1"/>
  <c r="T167" i="40"/>
  <c r="U167" i="40" s="1"/>
  <c r="T159" i="40"/>
  <c r="X159" i="40" s="1"/>
  <c r="T147" i="40"/>
  <c r="U147" i="40" s="1"/>
  <c r="T114" i="40"/>
  <c r="X114" i="40" s="1"/>
  <c r="T107" i="40"/>
  <c r="X107" i="40" s="1"/>
  <c r="T62" i="40"/>
  <c r="U62" i="40" s="1"/>
  <c r="T54" i="40"/>
  <c r="T47" i="40"/>
  <c r="U47" i="40" s="1"/>
  <c r="T40" i="40"/>
  <c r="U40" i="40" s="1"/>
  <c r="T32" i="40"/>
  <c r="X32" i="40" s="1"/>
  <c r="T30" i="40"/>
  <c r="X30" i="40" s="1"/>
  <c r="T28" i="40"/>
  <c r="T21" i="40"/>
  <c r="X21" i="40" s="1"/>
  <c r="T20" i="40"/>
  <c r="U20" i="40" s="1"/>
  <c r="T4" i="40"/>
  <c r="U4" i="40" s="1"/>
  <c r="T196" i="40"/>
  <c r="U196" i="40" s="1"/>
  <c r="T186" i="40"/>
  <c r="X186" i="40" s="1"/>
  <c r="T161" i="40"/>
  <c r="T129" i="40"/>
  <c r="T120" i="40"/>
  <c r="T111" i="40"/>
  <c r="X111" i="40" s="1"/>
  <c r="T99" i="40"/>
  <c r="U99" i="40" s="1"/>
  <c r="T79" i="40"/>
  <c r="U79" i="40" s="1"/>
  <c r="T71" i="40"/>
  <c r="X71" i="40" s="1"/>
  <c r="T68" i="40"/>
  <c r="U68" i="40" s="1"/>
  <c r="T66" i="40"/>
  <c r="U66" i="40" s="1"/>
  <c r="T64" i="40"/>
  <c r="X64" i="40" s="1"/>
  <c r="T57" i="40"/>
  <c r="U57" i="40" s="1"/>
  <c r="T34" i="40"/>
  <c r="U34" i="40" s="1"/>
  <c r="T22" i="40"/>
  <c r="U22" i="40" s="1"/>
  <c r="T12" i="40"/>
  <c r="U12" i="40" s="1"/>
  <c r="T203" i="40"/>
  <c r="X203" i="40" s="1"/>
  <c r="T197" i="40"/>
  <c r="X197" i="40" s="1"/>
  <c r="T190" i="40"/>
  <c r="X190" i="40" s="1"/>
  <c r="T179" i="40"/>
  <c r="U179" i="40" s="1"/>
  <c r="T177" i="40"/>
  <c r="X177" i="40" s="1"/>
  <c r="T169" i="40"/>
  <c r="X169" i="40" s="1"/>
  <c r="T163" i="40"/>
  <c r="X163" i="40" s="1"/>
  <c r="T122" i="40"/>
  <c r="U122" i="40" s="1"/>
  <c r="T85" i="40"/>
  <c r="X85" i="40" s="1"/>
  <c r="T84" i="40"/>
  <c r="U84" i="40" s="1"/>
  <c r="T77" i="40"/>
  <c r="U77" i="40" s="1"/>
  <c r="T73" i="40"/>
  <c r="U73" i="40" s="1"/>
  <c r="T65" i="40"/>
  <c r="X65" i="40" s="1"/>
  <c r="T52" i="40"/>
  <c r="U52" i="40" s="1"/>
  <c r="T49" i="40"/>
  <c r="U49" i="40" s="1"/>
  <c r="T44" i="40"/>
  <c r="U44" i="40" s="1"/>
  <c r="T42" i="40"/>
  <c r="U42" i="40" s="1"/>
  <c r="T33" i="40"/>
  <c r="X33" i="40" s="1"/>
  <c r="T31" i="40"/>
  <c r="T24" i="40"/>
  <c r="U24" i="40" s="1"/>
  <c r="T9" i="40"/>
  <c r="T193" i="40"/>
  <c r="U193" i="40" s="1"/>
  <c r="T180" i="40"/>
  <c r="U180" i="40" s="1"/>
  <c r="T162" i="40"/>
  <c r="U162" i="40" s="1"/>
  <c r="T160" i="40"/>
  <c r="X160" i="40" s="1"/>
  <c r="T158" i="40"/>
  <c r="X158" i="40" s="1"/>
  <c r="T145" i="40"/>
  <c r="T142" i="40"/>
  <c r="T125" i="40"/>
  <c r="T121" i="40"/>
  <c r="X121" i="40" s="1"/>
  <c r="T117" i="40"/>
  <c r="U117" i="40" s="1"/>
  <c r="T74" i="40"/>
  <c r="X74" i="40" s="1"/>
  <c r="T67" i="40"/>
  <c r="T60" i="40"/>
  <c r="X60" i="40" s="1"/>
  <c r="T58" i="40"/>
  <c r="X58" i="40" s="1"/>
  <c r="T37" i="40"/>
  <c r="T175" i="40"/>
  <c r="T170" i="40"/>
  <c r="T168" i="40"/>
  <c r="X168" i="40" s="1"/>
  <c r="T155" i="40"/>
  <c r="T151" i="40"/>
  <c r="X151" i="40" s="1"/>
  <c r="T118" i="40"/>
  <c r="U118" i="40" s="1"/>
  <c r="T115" i="40"/>
  <c r="U115" i="40" s="1"/>
  <c r="T109" i="40"/>
  <c r="X109" i="40" s="1"/>
  <c r="T104" i="40"/>
  <c r="U104" i="40" s="1"/>
  <c r="T97" i="40"/>
  <c r="X97" i="40" s="1"/>
  <c r="T93" i="40"/>
  <c r="U93" i="40" s="1"/>
  <c r="T89" i="40"/>
  <c r="T76" i="40"/>
  <c r="U76" i="40" s="1"/>
  <c r="T56" i="40"/>
  <c r="X56" i="40" s="1"/>
  <c r="T53" i="40"/>
  <c r="X53" i="40" s="1"/>
  <c r="T51" i="40"/>
  <c r="X51" i="40" s="1"/>
  <c r="T43" i="40"/>
  <c r="X43" i="40" s="1"/>
  <c r="T26" i="40"/>
  <c r="X26" i="40" s="1"/>
  <c r="T13" i="40"/>
  <c r="U13" i="40" s="1"/>
  <c r="T8" i="40"/>
  <c r="T7" i="40"/>
  <c r="X7" i="40" s="1"/>
  <c r="T6" i="40"/>
  <c r="X6" i="40" s="1"/>
  <c r="T204" i="40"/>
  <c r="T189" i="40"/>
  <c r="T164" i="40"/>
  <c r="U164" i="40" s="1"/>
  <c r="T157" i="40"/>
  <c r="U157" i="40" s="1"/>
  <c r="T140" i="40"/>
  <c r="X140" i="40" s="1"/>
  <c r="T112" i="40"/>
  <c r="U112" i="40" s="1"/>
  <c r="T260" i="40"/>
  <c r="T259" i="40"/>
  <c r="T266" i="40"/>
  <c r="T231" i="40"/>
  <c r="T218" i="40"/>
  <c r="T215" i="40"/>
  <c r="X215" i="40" s="1"/>
  <c r="T208" i="40"/>
  <c r="T69" i="40"/>
  <c r="X69" i="40" s="1"/>
  <c r="T18" i="40"/>
  <c r="X18" i="40" s="1"/>
  <c r="T187" i="40"/>
  <c r="X187" i="40" s="1"/>
  <c r="T184" i="40"/>
  <c r="T234" i="40"/>
  <c r="T23" i="40"/>
  <c r="T152" i="40"/>
  <c r="U152" i="40" s="1"/>
  <c r="T45" i="40"/>
  <c r="X45" i="40" s="1"/>
  <c r="T235" i="40"/>
  <c r="U235" i="40" s="1"/>
  <c r="T237" i="40"/>
  <c r="T232" i="40"/>
  <c r="T171" i="40"/>
  <c r="X171" i="40" s="1"/>
  <c r="T35" i="40"/>
  <c r="U35" i="40" s="1"/>
  <c r="T267" i="40"/>
  <c r="T229" i="40"/>
  <c r="T210" i="40"/>
  <c r="T127" i="40"/>
  <c r="U127" i="40" s="1"/>
  <c r="T39" i="40"/>
  <c r="T241" i="40"/>
  <c r="U241" i="40" s="1"/>
  <c r="T11" i="40"/>
  <c r="X11" i="40" s="1"/>
  <c r="T250" i="40"/>
  <c r="U250" i="40" s="1"/>
  <c r="T92" i="40"/>
  <c r="U92" i="40" s="1"/>
  <c r="T258" i="40"/>
  <c r="T143" i="40"/>
  <c r="T101" i="40"/>
  <c r="U101" i="40" s="1"/>
  <c r="U274" i="40"/>
  <c r="X274" i="40"/>
  <c r="U252" i="40"/>
  <c r="X252" i="40"/>
  <c r="X227" i="40"/>
  <c r="U227" i="40"/>
  <c r="U224" i="40"/>
  <c r="X224" i="40"/>
  <c r="U222" i="40"/>
  <c r="U178" i="40"/>
  <c r="X102" i="40"/>
  <c r="U102" i="40"/>
  <c r="W190" i="40"/>
  <c r="W213" i="40"/>
  <c r="W191" i="40"/>
  <c r="W205" i="40"/>
  <c r="W218" i="40"/>
  <c r="W203" i="40"/>
  <c r="W226" i="40"/>
  <c r="W194" i="40"/>
  <c r="W30" i="40"/>
  <c r="W183" i="40"/>
  <c r="W178" i="40"/>
  <c r="W273" i="40"/>
  <c r="W272" i="40"/>
  <c r="W166" i="40"/>
  <c r="W270" i="40"/>
  <c r="W269" i="40"/>
  <c r="W267" i="40"/>
  <c r="W51" i="40"/>
  <c r="W266" i="40"/>
  <c r="W264" i="40"/>
  <c r="W262" i="40"/>
  <c r="W239" i="40"/>
  <c r="W236" i="40"/>
  <c r="W235" i="40"/>
  <c r="W230" i="40"/>
  <c r="W228" i="40"/>
  <c r="W219" i="40"/>
  <c r="W140" i="40"/>
  <c r="W212" i="40"/>
  <c r="W79" i="40"/>
  <c r="W196" i="40"/>
  <c r="W189" i="40"/>
  <c r="W186" i="40"/>
  <c r="W83" i="40"/>
  <c r="W126" i="40"/>
  <c r="W170" i="40"/>
  <c r="W125" i="40"/>
  <c r="W86" i="40"/>
  <c r="W122" i="40"/>
  <c r="W148" i="40"/>
  <c r="W147" i="40"/>
  <c r="W118" i="40"/>
  <c r="W142" i="40"/>
  <c r="W137" i="40"/>
  <c r="W111" i="40"/>
  <c r="W136" i="40"/>
  <c r="W128" i="40"/>
  <c r="W113" i="40"/>
  <c r="W73" i="40"/>
  <c r="W96" i="40"/>
  <c r="W63" i="40"/>
  <c r="W47" i="40"/>
  <c r="W44" i="40"/>
  <c r="W42" i="40"/>
  <c r="W40" i="40"/>
  <c r="W80" i="40"/>
  <c r="W78" i="40"/>
  <c r="W36" i="40"/>
  <c r="W32" i="40"/>
  <c r="W23" i="40"/>
  <c r="W19" i="40"/>
  <c r="W245" i="40"/>
  <c r="W68" i="40"/>
  <c r="W234" i="40"/>
  <c r="W208" i="40"/>
  <c r="W61" i="40"/>
  <c r="W157" i="40"/>
  <c r="W168" i="40"/>
  <c r="W174" i="40"/>
  <c r="W53" i="40"/>
  <c r="W179" i="40"/>
  <c r="W123" i="40"/>
  <c r="W195" i="40"/>
  <c r="W41" i="40"/>
  <c r="W209" i="40"/>
  <c r="W112" i="40"/>
  <c r="W108" i="40"/>
  <c r="W103" i="40"/>
  <c r="W93" i="40"/>
  <c r="W91" i="40"/>
  <c r="W87" i="40"/>
  <c r="W76" i="40"/>
  <c r="W70" i="40"/>
  <c r="W15" i="40"/>
  <c r="W66" i="40"/>
  <c r="W11" i="40"/>
  <c r="W265" i="40"/>
  <c r="W50" i="40"/>
  <c r="W98" i="40"/>
  <c r="W24" i="40"/>
  <c r="W211" i="40"/>
  <c r="W244" i="40"/>
  <c r="W105" i="40"/>
  <c r="W250" i="40"/>
  <c r="W258" i="40"/>
  <c r="W129" i="40"/>
  <c r="W242" i="40"/>
  <c r="W240" i="40"/>
  <c r="W131" i="40"/>
  <c r="W274" i="40"/>
  <c r="W232" i="40"/>
  <c r="W146" i="40"/>
  <c r="W231" i="40"/>
  <c r="W149" i="40"/>
  <c r="W151" i="40"/>
  <c r="W217" i="40"/>
  <c r="W215" i="40"/>
  <c r="W156" i="40"/>
  <c r="W165" i="40"/>
  <c r="W188" i="40"/>
  <c r="W210" i="40"/>
  <c r="W216" i="40"/>
  <c r="W223" i="40"/>
  <c r="W251" i="40"/>
  <c r="W256" i="40"/>
  <c r="W9" i="40"/>
  <c r="W193" i="40"/>
  <c r="W192" i="40"/>
  <c r="W185" i="40"/>
  <c r="W259" i="40"/>
  <c r="W249" i="40"/>
  <c r="W14" i="40"/>
  <c r="W20" i="40"/>
  <c r="W172" i="40"/>
  <c r="W17" i="40"/>
  <c r="W167" i="40"/>
  <c r="W243" i="40"/>
  <c r="W238" i="40"/>
  <c r="W22" i="40"/>
  <c r="W227" i="40"/>
  <c r="W224" i="40"/>
  <c r="W49" i="40"/>
  <c r="W143" i="40"/>
  <c r="W135" i="40"/>
  <c r="W207" i="40"/>
  <c r="W52" i="40"/>
  <c r="W57" i="40"/>
  <c r="W58" i="40"/>
  <c r="W65" i="40"/>
  <c r="W176" i="40"/>
  <c r="W109" i="40"/>
  <c r="W75" i="40"/>
  <c r="W163" i="40"/>
  <c r="W154" i="40"/>
  <c r="W100" i="40"/>
  <c r="W141" i="40"/>
  <c r="W104" i="40"/>
  <c r="W114" i="40"/>
  <c r="W81" i="40"/>
  <c r="W101" i="40"/>
  <c r="W77" i="40"/>
  <c r="W95" i="40"/>
  <c r="W89" i="40"/>
  <c r="W85" i="40"/>
  <c r="W62" i="40"/>
  <c r="W72" i="40"/>
  <c r="W55" i="40"/>
  <c r="W69" i="40"/>
  <c r="W48" i="40"/>
  <c r="W67" i="40"/>
  <c r="W64" i="40"/>
  <c r="W31" i="40"/>
  <c r="W145" i="40"/>
  <c r="W27" i="40"/>
  <c r="W21" i="40"/>
  <c r="W56" i="40"/>
  <c r="W35" i="40"/>
  <c r="W18" i="40"/>
  <c r="W255" i="40"/>
  <c r="W12" i="40"/>
  <c r="W10" i="40"/>
  <c r="W37" i="40"/>
  <c r="W271" i="40"/>
  <c r="W246" i="40"/>
  <c r="W39" i="40"/>
  <c r="W43" i="40"/>
  <c r="W119" i="40"/>
  <c r="W268" i="40"/>
  <c r="W45" i="40"/>
  <c r="W127" i="40"/>
  <c r="W152" i="40"/>
  <c r="W161" i="40"/>
  <c r="W180" i="40"/>
  <c r="W182" i="40"/>
  <c r="W59" i="40"/>
  <c r="W263" i="40"/>
  <c r="W220" i="40"/>
  <c r="W200" i="40"/>
  <c r="W254" i="40"/>
  <c r="W252" i="40"/>
  <c r="W214" i="40"/>
  <c r="W222" i="40"/>
  <c r="W248" i="40"/>
  <c r="W247" i="40"/>
  <c r="W229" i="40"/>
  <c r="W241" i="40"/>
  <c r="W233" i="40"/>
  <c r="W237" i="40"/>
  <c r="W187" i="40"/>
  <c r="W88" i="40"/>
  <c r="W225" i="40"/>
  <c r="W90" i="40"/>
  <c r="W221" i="40"/>
  <c r="W253" i="40"/>
  <c r="W94" i="40"/>
  <c r="W206" i="40"/>
  <c r="W204" i="40"/>
  <c r="W202" i="40"/>
  <c r="W102" i="40"/>
  <c r="W199" i="40"/>
  <c r="W198" i="40"/>
  <c r="W197" i="40"/>
  <c r="W181" i="40"/>
  <c r="W106" i="40"/>
  <c r="W177" i="40"/>
  <c r="W169" i="40"/>
  <c r="W13" i="40"/>
  <c r="W158" i="40"/>
  <c r="W121" i="40"/>
  <c r="W130" i="40"/>
  <c r="W133" i="40"/>
  <c r="W134" i="40"/>
  <c r="W138" i="40"/>
  <c r="W139" i="40"/>
  <c r="W160" i="40"/>
  <c r="W144" i="40"/>
  <c r="W155" i="40"/>
  <c r="W162" i="40"/>
  <c r="W164" i="40"/>
  <c r="W171" i="40"/>
  <c r="W175" i="40"/>
  <c r="W132" i="40"/>
  <c r="W184" i="40"/>
  <c r="W201" i="40"/>
  <c r="W124" i="40"/>
  <c r="W153" i="40"/>
  <c r="W28" i="40"/>
  <c r="W150" i="40"/>
  <c r="W38" i="40"/>
  <c r="W46" i="40"/>
  <c r="W60" i="40"/>
  <c r="W84" i="40"/>
  <c r="W120" i="40"/>
  <c r="W117" i="40"/>
  <c r="W115" i="40"/>
  <c r="W92" i="40"/>
  <c r="W99" i="40"/>
  <c r="W97" i="40"/>
  <c r="W82" i="40"/>
  <c r="W74" i="40"/>
  <c r="W71" i="40"/>
  <c r="W33" i="40"/>
  <c r="W54" i="40"/>
  <c r="W29" i="40"/>
  <c r="W26" i="40"/>
  <c r="W25" i="40"/>
  <c r="W16" i="40"/>
  <c r="W173" i="40"/>
  <c r="W261" i="40"/>
  <c r="W34" i="40"/>
  <c r="W260" i="40"/>
  <c r="W257" i="40"/>
  <c r="W107" i="40"/>
  <c r="W110" i="40"/>
  <c r="W116" i="40"/>
  <c r="W159" i="40"/>
  <c r="U9" i="40"/>
  <c r="X9" i="40"/>
  <c r="X2" i="40"/>
  <c r="T263" i="40"/>
  <c r="T239" i="40"/>
  <c r="T135" i="40"/>
  <c r="T106" i="40"/>
  <c r="T238" i="40"/>
  <c r="T242" i="40"/>
  <c r="T133" i="40"/>
  <c r="T240" i="40"/>
  <c r="T236" i="40"/>
  <c r="U225" i="40" l="1"/>
  <c r="X48" i="40"/>
  <c r="U114" i="40"/>
  <c r="U137" i="40"/>
  <c r="X173" i="40"/>
  <c r="X230" i="40"/>
  <c r="X148" i="40"/>
  <c r="U223" i="40"/>
  <c r="U165" i="40"/>
  <c r="X81" i="40"/>
  <c r="U41" i="40"/>
  <c r="U43" i="40"/>
  <c r="X75" i="40"/>
  <c r="X199" i="40"/>
  <c r="U177" i="40"/>
  <c r="X78" i="40"/>
  <c r="U169" i="40"/>
  <c r="X79" i="40"/>
  <c r="U215" i="40"/>
  <c r="X83" i="40"/>
  <c r="U111" i="40"/>
  <c r="X193" i="40"/>
  <c r="X38" i="40"/>
  <c r="X122" i="40"/>
  <c r="X127" i="40"/>
  <c r="U69" i="40"/>
  <c r="U212" i="40"/>
  <c r="X123" i="40"/>
  <c r="U26" i="40"/>
  <c r="U90" i="40"/>
  <c r="X154" i="40"/>
  <c r="U214" i="40"/>
  <c r="U156" i="40"/>
  <c r="U85" i="40"/>
  <c r="X46" i="40"/>
  <c r="U107" i="40"/>
  <c r="U72" i="40"/>
  <c r="U108" i="40"/>
  <c r="U160" i="40"/>
  <c r="U163" i="40"/>
  <c r="U251" i="40"/>
  <c r="U6" i="40"/>
  <c r="X40" i="40"/>
  <c r="U207" i="40"/>
  <c r="X68" i="40"/>
  <c r="U128" i="40"/>
  <c r="X216" i="40"/>
  <c r="U100" i="40"/>
  <c r="X70" i="40"/>
  <c r="X219" i="40"/>
  <c r="X273" i="40"/>
  <c r="X99" i="40"/>
  <c r="U138" i="40"/>
  <c r="U7" i="40"/>
  <c r="U110" i="40"/>
  <c r="U182" i="40"/>
  <c r="X185" i="40"/>
  <c r="U64" i="40"/>
  <c r="U65" i="40"/>
  <c r="X66" i="40"/>
  <c r="U32" i="40"/>
  <c r="U158" i="40"/>
  <c r="U176" i="40"/>
  <c r="X87" i="40"/>
  <c r="X180" i="40"/>
  <c r="U217" i="40"/>
  <c r="U191" i="40"/>
  <c r="X13" i="40"/>
  <c r="U61" i="40"/>
  <c r="U132" i="40"/>
  <c r="U168" i="40"/>
  <c r="X62" i="40"/>
  <c r="U18" i="40"/>
  <c r="U187" i="40"/>
  <c r="X86" i="40"/>
  <c r="U71" i="40"/>
  <c r="U174" i="40"/>
  <c r="X241" i="40"/>
  <c r="U11" i="40"/>
  <c r="X27" i="40"/>
  <c r="U51" i="40"/>
  <c r="X29" i="40"/>
  <c r="U98" i="40"/>
  <c r="X118" i="40"/>
  <c r="X47" i="40"/>
  <c r="U200" i="40"/>
  <c r="X221" i="40"/>
  <c r="X84" i="40"/>
  <c r="X162" i="40"/>
  <c r="U206" i="40"/>
  <c r="U136" i="40"/>
  <c r="X73" i="40"/>
  <c r="X20" i="40"/>
  <c r="X22" i="40"/>
  <c r="U201" i="40"/>
  <c r="X25" i="40"/>
  <c r="X115" i="40"/>
  <c r="U141" i="40"/>
  <c r="U82" i="40"/>
  <c r="X12" i="40"/>
  <c r="X4" i="40"/>
  <c r="U5" i="40"/>
  <c r="X205" i="40"/>
  <c r="X57" i="40"/>
  <c r="U151" i="40"/>
  <c r="X253" i="40"/>
  <c r="U95" i="40"/>
  <c r="U257" i="40"/>
  <c r="U97" i="40"/>
  <c r="U192" i="40"/>
  <c r="U243" i="40"/>
  <c r="U74" i="40"/>
  <c r="U121" i="40"/>
  <c r="U33" i="40"/>
  <c r="X49" i="40"/>
  <c r="X164" i="40"/>
  <c r="U264" i="40"/>
  <c r="X34" i="40"/>
  <c r="X93" i="40"/>
  <c r="U109" i="40"/>
  <c r="X271" i="40"/>
  <c r="U21" i="40"/>
  <c r="U55" i="40"/>
  <c r="X3" i="40"/>
  <c r="U203" i="40"/>
  <c r="U256" i="40"/>
  <c r="U50" i="40"/>
  <c r="X262" i="40"/>
  <c r="X149" i="40"/>
  <c r="X245" i="40"/>
  <c r="X76" i="40"/>
  <c r="X52" i="40"/>
  <c r="X195" i="40"/>
  <c r="X248" i="40"/>
  <c r="X265" i="40"/>
  <c r="X44" i="40"/>
  <c r="X130" i="40"/>
  <c r="U166" i="40"/>
  <c r="X196" i="40"/>
  <c r="X250" i="40"/>
  <c r="U268" i="40"/>
  <c r="U45" i="40"/>
  <c r="U60" i="40"/>
  <c r="U88" i="40"/>
  <c r="X104" i="40"/>
  <c r="X117" i="40"/>
  <c r="U80" i="40"/>
  <c r="U146" i="40"/>
  <c r="U183" i="40"/>
  <c r="X24" i="40"/>
  <c r="U53" i="40"/>
  <c r="X147" i="40"/>
  <c r="X157" i="40"/>
  <c r="X194" i="40"/>
  <c r="X226" i="40"/>
  <c r="U244" i="40"/>
  <c r="X35" i="40"/>
  <c r="X167" i="40"/>
  <c r="U186" i="40"/>
  <c r="U15" i="40"/>
  <c r="U56" i="40"/>
  <c r="U91" i="40"/>
  <c r="U159" i="40"/>
  <c r="X228" i="40"/>
  <c r="U246" i="40"/>
  <c r="X255" i="40"/>
  <c r="X269" i="40"/>
  <c r="X92" i="40"/>
  <c r="X101" i="40"/>
  <c r="X179" i="40"/>
  <c r="U188" i="40"/>
  <c r="U197" i="40"/>
  <c r="X211" i="40"/>
  <c r="U247" i="40"/>
  <c r="U270" i="40"/>
  <c r="U19" i="40"/>
  <c r="U58" i="40"/>
  <c r="X112" i="40"/>
  <c r="X126" i="40"/>
  <c r="X139" i="40"/>
  <c r="X152" i="40"/>
  <c r="U171" i="40"/>
  <c r="U190" i="40"/>
  <c r="X233" i="40"/>
  <c r="U30" i="40"/>
  <c r="X42" i="40"/>
  <c r="X59" i="40"/>
  <c r="X77" i="40"/>
  <c r="X94" i="40"/>
  <c r="U103" i="40"/>
  <c r="U140" i="40"/>
  <c r="X153" i="40"/>
  <c r="U172" i="40"/>
  <c r="U181" i="40"/>
  <c r="X213" i="40"/>
  <c r="X235" i="40"/>
  <c r="U249" i="40"/>
  <c r="U261" i="40"/>
  <c r="X272" i="40"/>
  <c r="X259" i="40"/>
  <c r="U259" i="40"/>
  <c r="X124" i="40"/>
  <c r="U124" i="40"/>
  <c r="U119" i="40"/>
  <c r="X119" i="40"/>
  <c r="X89" i="40"/>
  <c r="U89" i="40"/>
  <c r="U105" i="40"/>
  <c r="X105" i="40"/>
  <c r="X17" i="40"/>
  <c r="U17" i="40"/>
  <c r="X39" i="40"/>
  <c r="U39" i="40"/>
  <c r="U143" i="40"/>
  <c r="X143" i="40"/>
  <c r="U63" i="40"/>
  <c r="X63" i="40"/>
  <c r="U131" i="40"/>
  <c r="X131" i="40"/>
  <c r="X14" i="40"/>
  <c r="U14" i="40"/>
  <c r="U16" i="40"/>
  <c r="X16" i="40"/>
  <c r="X113" i="40"/>
  <c r="U113" i="40"/>
  <c r="X10" i="40"/>
  <c r="U10" i="40"/>
  <c r="X161" i="40"/>
  <c r="U161" i="40"/>
  <c r="X37" i="40"/>
  <c r="U37" i="40"/>
  <c r="U31" i="40"/>
  <c r="X31" i="40"/>
  <c r="U220" i="40"/>
  <c r="X220" i="40"/>
  <c r="X232" i="40"/>
  <c r="U232" i="40"/>
  <c r="U229" i="40"/>
  <c r="X229" i="40"/>
  <c r="U144" i="40"/>
  <c r="X144" i="40"/>
  <c r="X254" i="40"/>
  <c r="U254" i="40"/>
  <c r="U170" i="40"/>
  <c r="X170" i="40"/>
  <c r="U189" i="40"/>
  <c r="X189" i="40"/>
  <c r="X234" i="40"/>
  <c r="U234" i="40"/>
  <c r="U116" i="40"/>
  <c r="X116" i="40"/>
  <c r="X204" i="40"/>
  <c r="U204" i="40"/>
  <c r="X120" i="40"/>
  <c r="U120" i="40"/>
  <c r="U96" i="40"/>
  <c r="X96" i="40"/>
  <c r="X237" i="40"/>
  <c r="U237" i="40"/>
  <c r="X208" i="40"/>
  <c r="U208" i="40"/>
  <c r="U54" i="40"/>
  <c r="X54" i="40"/>
  <c r="U134" i="40"/>
  <c r="X134" i="40"/>
  <c r="X125" i="40"/>
  <c r="U125" i="40"/>
  <c r="U209" i="40"/>
  <c r="X209" i="40"/>
  <c r="X218" i="40"/>
  <c r="U218" i="40"/>
  <c r="U67" i="40"/>
  <c r="X67" i="40"/>
  <c r="U150" i="40"/>
  <c r="X150" i="40"/>
  <c r="U184" i="40"/>
  <c r="X184" i="40"/>
  <c r="U267" i="40"/>
  <c r="X267" i="40"/>
  <c r="U145" i="40"/>
  <c r="X145" i="40"/>
  <c r="U175" i="40"/>
  <c r="X175" i="40"/>
  <c r="U155" i="40"/>
  <c r="X155" i="40"/>
  <c r="X231" i="40"/>
  <c r="U231" i="40"/>
  <c r="X8" i="40"/>
  <c r="U8" i="40"/>
  <c r="X210" i="40"/>
  <c r="U210" i="40"/>
  <c r="X198" i="40"/>
  <c r="U198" i="40"/>
  <c r="U258" i="40"/>
  <c r="X258" i="40"/>
  <c r="U202" i="40"/>
  <c r="X202" i="40"/>
  <c r="U129" i="40"/>
  <c r="X129" i="40"/>
  <c r="U23" i="40"/>
  <c r="X23" i="40"/>
  <c r="X28" i="40"/>
  <c r="U28" i="40"/>
  <c r="X142" i="40"/>
  <c r="U142" i="40"/>
  <c r="X266" i="40"/>
  <c r="U266" i="40"/>
  <c r="X260" i="40"/>
  <c r="U260" i="40"/>
  <c r="X36" i="40"/>
  <c r="U36" i="40"/>
  <c r="U263" i="40"/>
  <c r="X263" i="40"/>
  <c r="X239" i="40"/>
  <c r="U239" i="40"/>
  <c r="U135" i="40"/>
  <c r="X135" i="40"/>
  <c r="U106" i="40"/>
  <c r="X106" i="40"/>
  <c r="X238" i="40"/>
  <c r="U238" i="40"/>
  <c r="U242" i="40"/>
  <c r="X242" i="40"/>
  <c r="U133" i="40"/>
  <c r="X133" i="40"/>
  <c r="U240" i="40"/>
  <c r="X240" i="40"/>
  <c r="X236" i="40"/>
  <c r="U236" i="40"/>
  <c r="V12" i="40" l="1"/>
  <c r="V2" i="40"/>
  <c r="V8" i="40" s="1"/>
  <c r="V10" i="40"/>
  <c r="V14" i="40" l="1"/>
</calcChain>
</file>

<file path=xl/sharedStrings.xml><?xml version="1.0" encoding="utf-8"?>
<sst xmlns="http://schemas.openxmlformats.org/spreadsheetml/2006/main" count="55" uniqueCount="37">
  <si>
    <t>w1</t>
  </si>
  <si>
    <t>w2</t>
  </si>
  <si>
    <t>z1</t>
  </si>
  <si>
    <t>z2</t>
  </si>
  <si>
    <t>z3</t>
  </si>
  <si>
    <t>A1</t>
  </si>
  <si>
    <t>A2</t>
  </si>
  <si>
    <t>A3</t>
  </si>
  <si>
    <t>R^2</t>
  </si>
  <si>
    <t>ID</t>
  </si>
  <si>
    <t>SSE</t>
  </si>
  <si>
    <t>m</t>
  </si>
  <si>
    <t>b2</t>
  </si>
  <si>
    <t>b1</t>
  </si>
  <si>
    <t>x1</t>
  </si>
  <si>
    <t>x2</t>
  </si>
  <si>
    <t>x3</t>
  </si>
  <si>
    <t>x4</t>
  </si>
  <si>
    <t>x5</t>
  </si>
  <si>
    <t>m_ann</t>
  </si>
  <si>
    <t>E^2</t>
  </si>
  <si>
    <t>Em^2</t>
  </si>
  <si>
    <t>mean(m)</t>
  </si>
  <si>
    <t>SST</t>
  </si>
  <si>
    <t>Rel E (%)</t>
  </si>
  <si>
    <t>MAE (%)</t>
  </si>
  <si>
    <t>max(Rel E) (%)</t>
  </si>
  <si>
    <t>Product</t>
  </si>
  <si>
    <t>q</t>
  </si>
  <si>
    <t>h</t>
  </si>
  <si>
    <t>k</t>
  </si>
  <si>
    <t>Bayo beans 1</t>
  </si>
  <si>
    <t>Bayo beans 2</t>
  </si>
  <si>
    <t>Wheat</t>
  </si>
  <si>
    <t>RMSE</t>
  </si>
  <si>
    <t>B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</si>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</sst>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5" fontId="0" fillId="2" borderId="1" xfId="0" applyNumberFormat="1" applyFill="1" applyBorder="1"/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2" fillId="0" borderId="1" xfId="0" applyFont="1" applyBorder="1" applyAlignment="1">
      <alignment horizontal="center"/>
    </xf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3" fillId="0" borderId="1" xfId="0" applyFont="1" applyBorder="1" applyAlignment="1">
      <alignment horizontal="center"/>
    </xf>
    <xf numFmtId="165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6D21EB7E-1978-4A3B-A50F-D568B5CDA9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0.5"/>
            <c:backward val="0.5"/>
            <c:dispRSqr val="0"/>
            <c:dispEq val="0"/>
          </c:trendline>
          <c:xVal>
            <c:numRef>
              <c:f>'Training data'!$G$2:$G$391</c:f>
              <c:numCache>
                <c:formatCode>0.000</c:formatCode>
                <c:ptCount val="390"/>
                <c:pt idx="0">
                  <c:v>2.01412996122267</c:v>
                </c:pt>
                <c:pt idx="1">
                  <c:v>1.8969138290702601</c:v>
                </c:pt>
                <c:pt idx="2">
                  <c:v>1.78784643102857</c:v>
                </c:pt>
                <c:pt idx="3">
                  <c:v>1.6907984306621799</c:v>
                </c:pt>
                <c:pt idx="4">
                  <c:v>1.60262533020281</c:v>
                </c:pt>
                <c:pt idx="5">
                  <c:v>1.52844000074346</c:v>
                </c:pt>
                <c:pt idx="6">
                  <c:v>1.4660158069571101</c:v>
                </c:pt>
                <c:pt idx="7">
                  <c:v>1.41932737838142</c:v>
                </c:pt>
                <c:pt idx="8">
                  <c:v>1.3848241878459899</c:v>
                </c:pt>
                <c:pt idx="9">
                  <c:v>1.3721517869532001</c:v>
                </c:pt>
                <c:pt idx="10">
                  <c:v>1.77619017533007</c:v>
                </c:pt>
                <c:pt idx="11">
                  <c:v>1.5482873674705899</c:v>
                </c:pt>
                <c:pt idx="12">
                  <c:v>1.33233469794959</c:v>
                </c:pt>
                <c:pt idx="13">
                  <c:v>1.1325380227573101</c:v>
                </c:pt>
                <c:pt idx="14">
                  <c:v>0.95877179703309401</c:v>
                </c:pt>
                <c:pt idx="15">
                  <c:v>0.80548667970997101</c:v>
                </c:pt>
                <c:pt idx="16">
                  <c:v>0.6751347835821</c:v>
                </c:pt>
                <c:pt idx="17">
                  <c:v>0.59270073278746305</c:v>
                </c:pt>
                <c:pt idx="18">
                  <c:v>0.58056900799713895</c:v>
                </c:pt>
                <c:pt idx="19">
                  <c:v>0.76587786524651702</c:v>
                </c:pt>
                <c:pt idx="20">
                  <c:v>0.597168588564709</c:v>
                </c:pt>
                <c:pt idx="21">
                  <c:v>0.58610126196485501</c:v>
                </c:pt>
                <c:pt idx="22">
                  <c:v>0.57961803378971899</c:v>
                </c:pt>
                <c:pt idx="23">
                  <c:v>0.94688545731729601</c:v>
                </c:pt>
                <c:pt idx="24">
                  <c:v>1.08413098628267</c:v>
                </c:pt>
                <c:pt idx="25">
                  <c:v>0.82193250075090596</c:v>
                </c:pt>
                <c:pt idx="26">
                  <c:v>0.72003407393728103</c:v>
                </c:pt>
                <c:pt idx="27">
                  <c:v>0.69742443734283299</c:v>
                </c:pt>
                <c:pt idx="28">
                  <c:v>1.2023841712799099</c:v>
                </c:pt>
                <c:pt idx="29">
                  <c:v>1.30581349505004</c:v>
                </c:pt>
                <c:pt idx="30">
                  <c:v>1.07072641408763</c:v>
                </c:pt>
                <c:pt idx="31">
                  <c:v>0.62298337454097197</c:v>
                </c:pt>
                <c:pt idx="32">
                  <c:v>0.94697829811168099</c:v>
                </c:pt>
                <c:pt idx="33">
                  <c:v>1.41689333252468</c:v>
                </c:pt>
                <c:pt idx="34">
                  <c:v>1.5279659931184599</c:v>
                </c:pt>
                <c:pt idx="35">
                  <c:v>0.60009277071759604</c:v>
                </c:pt>
                <c:pt idx="36">
                  <c:v>0.83431397387471595</c:v>
                </c:pt>
                <c:pt idx="37">
                  <c:v>1.2006069157675601</c:v>
                </c:pt>
                <c:pt idx="38">
                  <c:v>1.6497380202441401</c:v>
                </c:pt>
                <c:pt idx="39">
                  <c:v>2.02242457428556</c:v>
                </c:pt>
                <c:pt idx="40">
                  <c:v>1.9048684991692899</c:v>
                </c:pt>
                <c:pt idx="41">
                  <c:v>1.7966009996558201</c:v>
                </c:pt>
                <c:pt idx="42">
                  <c:v>1.6981009223254599</c:v>
                </c:pt>
                <c:pt idx="43">
                  <c:v>1.6109124197401601</c:v>
                </c:pt>
                <c:pt idx="44">
                  <c:v>1.53544844388975</c:v>
                </c:pt>
                <c:pt idx="45">
                  <c:v>1.47323346931191</c:v>
                </c:pt>
                <c:pt idx="46">
                  <c:v>1.4248664951959999</c:v>
                </c:pt>
                <c:pt idx="47">
                  <c:v>1.39179135120803</c:v>
                </c:pt>
                <c:pt idx="48">
                  <c:v>1.3831218003119801</c:v>
                </c:pt>
                <c:pt idx="49">
                  <c:v>1.7833502897406299</c:v>
                </c:pt>
                <c:pt idx="50">
                  <c:v>1.5548662422735899</c:v>
                </c:pt>
                <c:pt idx="51">
                  <c:v>1.3397689305356399</c:v>
                </c:pt>
                <c:pt idx="52">
                  <c:v>1.13977629583583</c:v>
                </c:pt>
                <c:pt idx="53">
                  <c:v>0.96022795565068697</c:v>
                </c:pt>
                <c:pt idx="54">
                  <c:v>0.80452206814362304</c:v>
                </c:pt>
                <c:pt idx="55">
                  <c:v>0.67786658890899498</c:v>
                </c:pt>
                <c:pt idx="56">
                  <c:v>0.58771634737235101</c:v>
                </c:pt>
                <c:pt idx="57">
                  <c:v>0.55738109699755201</c:v>
                </c:pt>
                <c:pt idx="58">
                  <c:v>0.76257257791640698</c:v>
                </c:pt>
                <c:pt idx="59">
                  <c:v>0.58848043550124995</c:v>
                </c:pt>
                <c:pt idx="60">
                  <c:v>0.56066478758431404</c:v>
                </c:pt>
                <c:pt idx="61">
                  <c:v>0.55533963086315397</c:v>
                </c:pt>
                <c:pt idx="62">
                  <c:v>0.95326723500764399</c:v>
                </c:pt>
                <c:pt idx="63">
                  <c:v>1.0890159912922399</c:v>
                </c:pt>
                <c:pt idx="64">
                  <c:v>0.82346267283868801</c:v>
                </c:pt>
                <c:pt idx="65">
                  <c:v>0.7244093984519</c:v>
                </c:pt>
                <c:pt idx="66">
                  <c:v>0.69873798066000303</c:v>
                </c:pt>
                <c:pt idx="67">
                  <c:v>1.20486174188401</c:v>
                </c:pt>
                <c:pt idx="68">
                  <c:v>1.31409219752046</c:v>
                </c:pt>
                <c:pt idx="69">
                  <c:v>1.0767334947112499</c:v>
                </c:pt>
                <c:pt idx="70">
                  <c:v>0.62521916465941596</c:v>
                </c:pt>
                <c:pt idx="71">
                  <c:v>0.94960814564469298</c:v>
                </c:pt>
                <c:pt idx="72">
                  <c:v>1.42411497578636</c:v>
                </c:pt>
                <c:pt idx="73">
                  <c:v>1.5378516331060299</c:v>
                </c:pt>
                <c:pt idx="74">
                  <c:v>0.59585162618667598</c:v>
                </c:pt>
                <c:pt idx="75">
                  <c:v>0.83772910684795199</c:v>
                </c:pt>
                <c:pt idx="76">
                  <c:v>1.2063449281957499</c:v>
                </c:pt>
                <c:pt idx="77">
                  <c:v>1.6576760228891501</c:v>
                </c:pt>
                <c:pt idx="78">
                  <c:v>2.0221809001992002</c:v>
                </c:pt>
                <c:pt idx="79">
                  <c:v>1.90535157713114</c:v>
                </c:pt>
                <c:pt idx="80">
                  <c:v>1.79743540247232</c:v>
                </c:pt>
                <c:pt idx="81">
                  <c:v>1.6989158480376501</c:v>
                </c:pt>
                <c:pt idx="82">
                  <c:v>1.61147199710581</c:v>
                </c:pt>
                <c:pt idx="83">
                  <c:v>1.5354943736912301</c:v>
                </c:pt>
                <c:pt idx="84">
                  <c:v>1.47263299675282</c:v>
                </c:pt>
                <c:pt idx="85">
                  <c:v>1.4235819747868299</c:v>
                </c:pt>
                <c:pt idx="86">
                  <c:v>1.3897832019371601</c:v>
                </c:pt>
                <c:pt idx="87">
                  <c:v>1.38050170100697</c:v>
                </c:pt>
                <c:pt idx="88">
                  <c:v>1.78469548572465</c:v>
                </c:pt>
                <c:pt idx="89">
                  <c:v>1.55720439148669</c:v>
                </c:pt>
                <c:pt idx="90">
                  <c:v>1.3421702119579599</c:v>
                </c:pt>
                <c:pt idx="91">
                  <c:v>1.1421987140912699</c:v>
                </c:pt>
                <c:pt idx="92">
                  <c:v>0.96180484194413696</c:v>
                </c:pt>
                <c:pt idx="93">
                  <c:v>0.80475313345413901</c:v>
                </c:pt>
                <c:pt idx="94">
                  <c:v>0.67627991892648298</c:v>
                </c:pt>
                <c:pt idx="95">
                  <c:v>0.58428847073215495</c:v>
                </c:pt>
                <c:pt idx="96">
                  <c:v>0.55184051672439405</c:v>
                </c:pt>
                <c:pt idx="97">
                  <c:v>0.76130769983136404</c:v>
                </c:pt>
                <c:pt idx="98">
                  <c:v>0.58471321884333105</c:v>
                </c:pt>
                <c:pt idx="99">
                  <c:v>0.555972084958406</c:v>
                </c:pt>
                <c:pt idx="100">
                  <c:v>0.55014087324845895</c:v>
                </c:pt>
                <c:pt idx="101">
                  <c:v>0.95334425891679797</c:v>
                </c:pt>
                <c:pt idx="102">
                  <c:v>1.08979103458432</c:v>
                </c:pt>
                <c:pt idx="103">
                  <c:v>0.82362963180791204</c:v>
                </c:pt>
                <c:pt idx="104">
                  <c:v>0.72348415853231796</c:v>
                </c:pt>
                <c:pt idx="105">
                  <c:v>0.697265259048645</c:v>
                </c:pt>
                <c:pt idx="106">
                  <c:v>1.2061397766520201</c:v>
                </c:pt>
                <c:pt idx="107">
                  <c:v>1.3157947625331501</c:v>
                </c:pt>
                <c:pt idx="108">
                  <c:v>1.07881228828413</c:v>
                </c:pt>
                <c:pt idx="109">
                  <c:v>0.62263422990705297</c:v>
                </c:pt>
                <c:pt idx="110">
                  <c:v>0.95089848682274103</c:v>
                </c:pt>
                <c:pt idx="111">
                  <c:v>1.4261139299407199</c:v>
                </c:pt>
                <c:pt idx="112">
                  <c:v>1.53991649773878</c:v>
                </c:pt>
                <c:pt idx="113">
                  <c:v>0.59271297214235497</c:v>
                </c:pt>
                <c:pt idx="114">
                  <c:v>0.83828531772360004</c:v>
                </c:pt>
                <c:pt idx="115">
                  <c:v>1.2089044150765</c:v>
                </c:pt>
                <c:pt idx="116">
                  <c:v>1.65955781977418</c:v>
                </c:pt>
                <c:pt idx="117">
                  <c:v>2.02171798588317</c:v>
                </c:pt>
                <c:pt idx="118">
                  <c:v>1.9059595418014901</c:v>
                </c:pt>
                <c:pt idx="119">
                  <c:v>1.79857055756221</c:v>
                </c:pt>
                <c:pt idx="120">
                  <c:v>1.7000548717769099</c:v>
                </c:pt>
                <c:pt idx="121">
                  <c:v>1.6122133325208801</c:v>
                </c:pt>
                <c:pt idx="122">
                  <c:v>1.5355007963259899</c:v>
                </c:pt>
                <c:pt idx="123">
                  <c:v>1.4716712861263599</c:v>
                </c:pt>
                <c:pt idx="124">
                  <c:v>1.4215805177126699</c:v>
                </c:pt>
                <c:pt idx="125">
                  <c:v>1.3867787168629</c:v>
                </c:pt>
                <c:pt idx="126">
                  <c:v>1.3765157381905999</c:v>
                </c:pt>
                <c:pt idx="127">
                  <c:v>1.7865667444906701</c:v>
                </c:pt>
                <c:pt idx="128">
                  <c:v>1.5605380842622201</c:v>
                </c:pt>
                <c:pt idx="129">
                  <c:v>1.34611328257387</c:v>
                </c:pt>
                <c:pt idx="130">
                  <c:v>1.1458214451142199</c:v>
                </c:pt>
                <c:pt idx="131">
                  <c:v>0.96420089563889</c:v>
                </c:pt>
                <c:pt idx="132">
                  <c:v>0.80516880370219901</c:v>
                </c:pt>
                <c:pt idx="133">
                  <c:v>0.67413442579481397</c:v>
                </c:pt>
                <c:pt idx="134">
                  <c:v>0.57922560396304801</c:v>
                </c:pt>
                <c:pt idx="135">
                  <c:v>0.54321759930970603</c:v>
                </c:pt>
                <c:pt idx="136">
                  <c:v>0.75937753008814401</c:v>
                </c:pt>
                <c:pt idx="137">
                  <c:v>0.578949774052537</c:v>
                </c:pt>
                <c:pt idx="138">
                  <c:v>0.54875083433862903</c:v>
                </c:pt>
                <c:pt idx="139">
                  <c:v>0.54210298767241305</c:v>
                </c:pt>
                <c:pt idx="140">
                  <c:v>0.95352652451791797</c:v>
                </c:pt>
                <c:pt idx="141">
                  <c:v>1.0908990141350601</c:v>
                </c:pt>
                <c:pt idx="142">
                  <c:v>0.82393411415350204</c:v>
                </c:pt>
                <c:pt idx="143">
                  <c:v>0.72234420756088402</c:v>
                </c:pt>
                <c:pt idx="144">
                  <c:v>0.69520727875370003</c:v>
                </c:pt>
                <c:pt idx="145">
                  <c:v>1.20798671854156</c:v>
                </c:pt>
                <c:pt idx="146">
                  <c:v>1.3182647739264901</c:v>
                </c:pt>
                <c:pt idx="147">
                  <c:v>1.08191501586766</c:v>
                </c:pt>
                <c:pt idx="148">
                  <c:v>0.61889006928997103</c:v>
                </c:pt>
                <c:pt idx="149">
                  <c:v>0.95285839002698303</c:v>
                </c:pt>
                <c:pt idx="150">
                  <c:v>1.42898713728447</c:v>
                </c:pt>
                <c:pt idx="151">
                  <c:v>1.5428901701250299</c:v>
                </c:pt>
                <c:pt idx="152">
                  <c:v>0.58790949235558299</c:v>
                </c:pt>
                <c:pt idx="153">
                  <c:v>0.839191100945608</c:v>
                </c:pt>
                <c:pt idx="154">
                  <c:v>1.21268074193983</c:v>
                </c:pt>
                <c:pt idx="155">
                  <c:v>1.6622061653778999</c:v>
                </c:pt>
                <c:pt idx="156">
                  <c:v>2.0206836332005</c:v>
                </c:pt>
                <c:pt idx="157">
                  <c:v>1.9066740804503099</c:v>
                </c:pt>
                <c:pt idx="158">
                  <c:v>1.8001890291107501</c:v>
                </c:pt>
                <c:pt idx="159">
                  <c:v>1.70173917073137</c:v>
                </c:pt>
                <c:pt idx="160">
                  <c:v>1.61330344884</c:v>
                </c:pt>
                <c:pt idx="161">
                  <c:v>1.5353927090011601</c:v>
                </c:pt>
                <c:pt idx="162">
                  <c:v>1.46995808732192</c:v>
                </c:pt>
                <c:pt idx="163">
                  <c:v>1.4180806766226199</c:v>
                </c:pt>
                <c:pt idx="164">
                  <c:v>1.38149327908841</c:v>
                </c:pt>
                <c:pt idx="165">
                  <c:v>1.3693771047380601</c:v>
                </c:pt>
                <c:pt idx="166">
                  <c:v>1.7893208705036701</c:v>
                </c:pt>
                <c:pt idx="167">
                  <c:v>1.5657947978858899</c:v>
                </c:pt>
                <c:pt idx="168">
                  <c:v>1.35251660102178</c:v>
                </c:pt>
                <c:pt idx="169">
                  <c:v>1.1518736615154399</c:v>
                </c:pt>
                <c:pt idx="170">
                  <c:v>0.96842264671373601</c:v>
                </c:pt>
                <c:pt idx="171">
                  <c:v>0.80616566340240103</c:v>
                </c:pt>
                <c:pt idx="172">
                  <c:v>0.67082231785503998</c:v>
                </c:pt>
                <c:pt idx="173">
                  <c:v>0.57082198845334697</c:v>
                </c:pt>
                <c:pt idx="174">
                  <c:v>0.528195438681756</c:v>
                </c:pt>
                <c:pt idx="175">
                  <c:v>0.75620461799627203</c:v>
                </c:pt>
                <c:pt idx="176">
                  <c:v>0.56929047277086797</c:v>
                </c:pt>
                <c:pt idx="177">
                  <c:v>0.53635652632144004</c:v>
                </c:pt>
                <c:pt idx="178">
                  <c:v>0.52820777379836203</c:v>
                </c:pt>
                <c:pt idx="179">
                  <c:v>0.95377996396873599</c:v>
                </c:pt>
                <c:pt idx="180">
                  <c:v>1.09267391215608</c:v>
                </c:pt>
                <c:pt idx="181">
                  <c:v>0.82468296697426202</c:v>
                </c:pt>
                <c:pt idx="182">
                  <c:v>0.72074232377190395</c:v>
                </c:pt>
                <c:pt idx="183">
                  <c:v>0.69198192198743902</c:v>
                </c:pt>
                <c:pt idx="184">
                  <c:v>1.2109717553428001</c:v>
                </c:pt>
                <c:pt idx="185">
                  <c:v>1.32223163295625</c:v>
                </c:pt>
                <c:pt idx="186">
                  <c:v>1.08718317595881</c:v>
                </c:pt>
                <c:pt idx="187">
                  <c:v>0.61280256017944501</c:v>
                </c:pt>
                <c:pt idx="188">
                  <c:v>0.95630257135574204</c:v>
                </c:pt>
                <c:pt idx="189">
                  <c:v>1.4335834035566799</c:v>
                </c:pt>
                <c:pt idx="190">
                  <c:v>1.54758284956047</c:v>
                </c:pt>
                <c:pt idx="191">
                  <c:v>0.58010814407312095</c:v>
                </c:pt>
                <c:pt idx="192">
                  <c:v>0.84099926683246795</c:v>
                </c:pt>
                <c:pt idx="193">
                  <c:v>1.2189438817818401</c:v>
                </c:pt>
                <c:pt idx="194">
                  <c:v>1.6663073849815899</c:v>
                </c:pt>
                <c:pt idx="195">
                  <c:v>2.0189231342334399</c:v>
                </c:pt>
                <c:pt idx="196">
                  <c:v>1.9074225523069099</c:v>
                </c:pt>
                <c:pt idx="197">
                  <c:v>1.80230616236206</c:v>
                </c:pt>
                <c:pt idx="198">
                  <c:v>1.7041306907454901</c:v>
                </c:pt>
                <c:pt idx="199">
                  <c:v>1.61496418653056</c:v>
                </c:pt>
                <c:pt idx="200">
                  <c:v>1.5354016152743</c:v>
                </c:pt>
                <c:pt idx="201">
                  <c:v>1.46759858529221</c:v>
                </c:pt>
                <c:pt idx="202">
                  <c:v>1.4129493289931701</c:v>
                </c:pt>
                <c:pt idx="203">
                  <c:v>1.3734454447037101</c:v>
                </c:pt>
                <c:pt idx="204">
                  <c:v>1.3580912461975501</c:v>
                </c:pt>
                <c:pt idx="205">
                  <c:v>1.7929164013285399</c:v>
                </c:pt>
                <c:pt idx="206">
                  <c:v>1.5731931041085001</c:v>
                </c:pt>
                <c:pt idx="207">
                  <c:v>1.3619270391381</c:v>
                </c:pt>
                <c:pt idx="208">
                  <c:v>1.1612838289869101</c:v>
                </c:pt>
                <c:pt idx="209">
                  <c:v>0.97557729281803696</c:v>
                </c:pt>
                <c:pt idx="210">
                  <c:v>0.80885995964979096</c:v>
                </c:pt>
                <c:pt idx="211">
                  <c:v>0.66710428636209096</c:v>
                </c:pt>
                <c:pt idx="212">
                  <c:v>0.55906950425681001</c:v>
                </c:pt>
                <c:pt idx="213">
                  <c:v>0.50543808075813601</c:v>
                </c:pt>
                <c:pt idx="214">
                  <c:v>0.75194344076594899</c:v>
                </c:pt>
                <c:pt idx="215">
                  <c:v>0.55537814625814497</c:v>
                </c:pt>
                <c:pt idx="216">
                  <c:v>0.51803805892169097</c:v>
                </c:pt>
                <c:pt idx="217">
                  <c:v>0.50740114839592498</c:v>
                </c:pt>
                <c:pt idx="218">
                  <c:v>0.95442853319856202</c:v>
                </c:pt>
                <c:pt idx="219">
                  <c:v>1.09552519175941</c:v>
                </c:pt>
                <c:pt idx="220">
                  <c:v>0.82682450022601695</c:v>
                </c:pt>
                <c:pt idx="221">
                  <c:v>0.71960667201457296</c:v>
                </c:pt>
                <c:pt idx="222">
                  <c:v>0.68820790978767099</c:v>
                </c:pt>
                <c:pt idx="223">
                  <c:v>1.21555294715971</c:v>
                </c:pt>
                <c:pt idx="224">
                  <c:v>1.3281812683190799</c:v>
                </c:pt>
                <c:pt idx="225">
                  <c:v>1.09554996589509</c:v>
                </c:pt>
                <c:pt idx="226">
                  <c:v>0.60472580501676998</c:v>
                </c:pt>
                <c:pt idx="227">
                  <c:v>0.96226223658402799</c:v>
                </c:pt>
                <c:pt idx="228">
                  <c:v>1.4402788368549999</c:v>
                </c:pt>
                <c:pt idx="229">
                  <c:v>1.5542520818005601</c:v>
                </c:pt>
                <c:pt idx="230">
                  <c:v>0.56932572132747294</c:v>
                </c:pt>
                <c:pt idx="231">
                  <c:v>0.84484420161697205</c:v>
                </c:pt>
                <c:pt idx="232">
                  <c:v>1.22845244756975</c:v>
                </c:pt>
                <c:pt idx="233">
                  <c:v>1.6719264942755201</c:v>
                </c:pt>
                <c:pt idx="234">
                  <c:v>2.0182290307961299</c:v>
                </c:pt>
                <c:pt idx="235">
                  <c:v>1.90769544863156</c:v>
                </c:pt>
                <c:pt idx="236">
                  <c:v>1.8031400706712499</c:v>
                </c:pt>
                <c:pt idx="237">
                  <c:v>1.7051414512906999</c:v>
                </c:pt>
                <c:pt idx="238">
                  <c:v>1.6157396701557001</c:v>
                </c:pt>
                <c:pt idx="239">
                  <c:v>1.53561241010884</c:v>
                </c:pt>
                <c:pt idx="240">
                  <c:v>1.4669160485311299</c:v>
                </c:pt>
                <c:pt idx="241">
                  <c:v>1.41117169391071</c:v>
                </c:pt>
                <c:pt idx="242">
                  <c:v>1.37046939350652</c:v>
                </c:pt>
                <c:pt idx="243">
                  <c:v>1.35375135237891</c:v>
                </c:pt>
                <c:pt idx="244">
                  <c:v>1.7942712502518201</c:v>
                </c:pt>
                <c:pt idx="245">
                  <c:v>1.5760351948229301</c:v>
                </c:pt>
                <c:pt idx="246">
                  <c:v>1.365684149152</c:v>
                </c:pt>
                <c:pt idx="247">
                  <c:v>1.16521500824465</c:v>
                </c:pt>
                <c:pt idx="248">
                  <c:v>0.97882684100644102</c:v>
                </c:pt>
                <c:pt idx="249">
                  <c:v>0.81051875981743804</c:v>
                </c:pt>
                <c:pt idx="250">
                  <c:v>0.666300399212432</c:v>
                </c:pt>
                <c:pt idx="251">
                  <c:v>0.55503645183837302</c:v>
                </c:pt>
                <c:pt idx="252">
                  <c:v>0.49687276423379001</c:v>
                </c:pt>
                <c:pt idx="253">
                  <c:v>0.75068871084699995</c:v>
                </c:pt>
                <c:pt idx="254">
                  <c:v>0.55043829823089396</c:v>
                </c:pt>
                <c:pt idx="255">
                  <c:v>0.51129463593823898</c:v>
                </c:pt>
                <c:pt idx="256">
                  <c:v>0.499635415912692</c:v>
                </c:pt>
                <c:pt idx="257">
                  <c:v>0.954963776175483</c:v>
                </c:pt>
                <c:pt idx="258">
                  <c:v>1.0968834499664999</c:v>
                </c:pt>
                <c:pt idx="259">
                  <c:v>0.82820437892072096</c:v>
                </c:pt>
                <c:pt idx="260">
                  <c:v>0.71980497042852198</c:v>
                </c:pt>
                <c:pt idx="261">
                  <c:v>0.68732462371429803</c:v>
                </c:pt>
                <c:pt idx="262">
                  <c:v>1.21755087461261</c:v>
                </c:pt>
                <c:pt idx="263">
                  <c:v>1.33065599191978</c:v>
                </c:pt>
                <c:pt idx="264">
                  <c:v>1.0991333971081301</c:v>
                </c:pt>
                <c:pt idx="265">
                  <c:v>0.60217886105393603</c:v>
                </c:pt>
                <c:pt idx="266">
                  <c:v>0.96503698071867905</c:v>
                </c:pt>
                <c:pt idx="267">
                  <c:v>1.4429816731712799</c:v>
                </c:pt>
                <c:pt idx="268">
                  <c:v>1.5568526794101301</c:v>
                </c:pt>
                <c:pt idx="269">
                  <c:v>0.56568919038847898</c:v>
                </c:pt>
                <c:pt idx="270">
                  <c:v>0.846924321732066</c:v>
                </c:pt>
                <c:pt idx="271">
                  <c:v>1.2323511142385699</c:v>
                </c:pt>
                <c:pt idx="272">
                  <c:v>1.674057002059</c:v>
                </c:pt>
                <c:pt idx="273">
                  <c:v>2.0173665543612298</c:v>
                </c:pt>
                <c:pt idx="274">
                  <c:v>1.90810502060509</c:v>
                </c:pt>
                <c:pt idx="275">
                  <c:v>1.8043467135565801</c:v>
                </c:pt>
                <c:pt idx="276">
                  <c:v>1.70666193563351</c:v>
                </c:pt>
                <c:pt idx="277">
                  <c:v>1.61706617652562</c:v>
                </c:pt>
                <c:pt idx="278">
                  <c:v>1.5362038112701799</c:v>
                </c:pt>
                <c:pt idx="279">
                  <c:v>1.4663096652054599</c:v>
                </c:pt>
                <c:pt idx="280">
                  <c:v>1.40904705236896</c:v>
                </c:pt>
                <c:pt idx="281">
                  <c:v>1.36662463735773</c:v>
                </c:pt>
                <c:pt idx="282">
                  <c:v>1.3479515851702399</c:v>
                </c:pt>
                <c:pt idx="283">
                  <c:v>1.79609350401927</c:v>
                </c:pt>
                <c:pt idx="284">
                  <c:v>1.58001890091037</c:v>
                </c:pt>
                <c:pt idx="285">
                  <c:v>1.37103304641914</c:v>
                </c:pt>
                <c:pt idx="286">
                  <c:v>1.1710073705878301</c:v>
                </c:pt>
                <c:pt idx="287">
                  <c:v>0.98389694899645996</c:v>
                </c:pt>
                <c:pt idx="288">
                  <c:v>0.81356507594892002</c:v>
                </c:pt>
                <c:pt idx="289">
                  <c:v>0.66600766341948303</c:v>
                </c:pt>
                <c:pt idx="290">
                  <c:v>0.55018090105693995</c:v>
                </c:pt>
                <c:pt idx="291">
                  <c:v>0.48557550679553602</c:v>
                </c:pt>
                <c:pt idx="292">
                  <c:v>0.74952047120190102</c:v>
                </c:pt>
                <c:pt idx="293">
                  <c:v>0.54428326035658703</c:v>
                </c:pt>
                <c:pt idx="294">
                  <c:v>0.50257489451886705</c:v>
                </c:pt>
                <c:pt idx="295">
                  <c:v>0.48946216900698802</c:v>
                </c:pt>
                <c:pt idx="296">
                  <c:v>0.95611882659739</c:v>
                </c:pt>
                <c:pt idx="297">
                  <c:v>1.0991286096783199</c:v>
                </c:pt>
                <c:pt idx="298">
                  <c:v>0.83079469699223296</c:v>
                </c:pt>
                <c:pt idx="299">
                  <c:v>0.72087646877454303</c:v>
                </c:pt>
                <c:pt idx="300">
                  <c:v>0.686845413544796</c:v>
                </c:pt>
                <c:pt idx="301">
                  <c:v>1.2206444113460699</c:v>
                </c:pt>
                <c:pt idx="302">
                  <c:v>1.33432974872507</c:v>
                </c:pt>
                <c:pt idx="303">
                  <c:v>1.10453835154672</c:v>
                </c:pt>
                <c:pt idx="304">
                  <c:v>0.59942746421311499</c:v>
                </c:pt>
                <c:pt idx="305">
                  <c:v>0.969441207757745</c:v>
                </c:pt>
                <c:pt idx="306">
                  <c:v>1.44689889511073</c:v>
                </c:pt>
                <c:pt idx="307">
                  <c:v>1.56054749502473</c:v>
                </c:pt>
                <c:pt idx="308">
                  <c:v>0.56139916304262505</c:v>
                </c:pt>
                <c:pt idx="309">
                  <c:v>0.85052114441349402</c:v>
                </c:pt>
                <c:pt idx="310">
                  <c:v>1.2380378687484901</c:v>
                </c:pt>
                <c:pt idx="311">
                  <c:v>1.6770367293923301</c:v>
                </c:pt>
                <c:pt idx="312">
                  <c:v>2.0160825149772799</c:v>
                </c:pt>
                <c:pt idx="313">
                  <c:v>1.90878872907041</c:v>
                </c:pt>
                <c:pt idx="314">
                  <c:v>1.80640737444644</c:v>
                </c:pt>
                <c:pt idx="315">
                  <c:v>1.7093528496452499</c:v>
                </c:pt>
                <c:pt idx="316">
                  <c:v>1.61968663756842</c:v>
                </c:pt>
                <c:pt idx="317">
                  <c:v>1.5379727634673399</c:v>
                </c:pt>
                <c:pt idx="318">
                  <c:v>1.4664711508472199</c:v>
                </c:pt>
                <c:pt idx="319">
                  <c:v>1.4069445884112</c:v>
                </c:pt>
                <c:pt idx="320">
                  <c:v>1.36183642534436</c:v>
                </c:pt>
                <c:pt idx="321">
                  <c:v>1.3401260973860101</c:v>
                </c:pt>
                <c:pt idx="322">
                  <c:v>1.7989436128559</c:v>
                </c:pt>
                <c:pt idx="323">
                  <c:v>1.58613196694898</c:v>
                </c:pt>
                <c:pt idx="324">
                  <c:v>1.37957366113942</c:v>
                </c:pt>
                <c:pt idx="325">
                  <c:v>1.1806405756407601</c:v>
                </c:pt>
                <c:pt idx="326">
                  <c:v>0.99302588671479197</c:v>
                </c:pt>
                <c:pt idx="327">
                  <c:v>0.82016058687770999</c:v>
                </c:pt>
                <c:pt idx="328">
                  <c:v>0.66788107362331595</c:v>
                </c:pt>
                <c:pt idx="329">
                  <c:v>0.54511650554949598</c:v>
                </c:pt>
                <c:pt idx="330">
                  <c:v>0.47064971461430399</c:v>
                </c:pt>
                <c:pt idx="331">
                  <c:v>0.74948121122207101</c:v>
                </c:pt>
                <c:pt idx="332">
                  <c:v>0.53719585553440397</c:v>
                </c:pt>
                <c:pt idx="333">
                  <c:v>0.49154099460380601</c:v>
                </c:pt>
                <c:pt idx="334">
                  <c:v>0.47619596255475299</c:v>
                </c:pt>
                <c:pt idx="335">
                  <c:v>0.95909903653911999</c:v>
                </c:pt>
                <c:pt idx="336">
                  <c:v>1.10359790270063</c:v>
                </c:pt>
                <c:pt idx="337">
                  <c:v>0.83654827509767704</c:v>
                </c:pt>
                <c:pt idx="338">
                  <c:v>0.72470228531724901</c:v>
                </c:pt>
                <c:pt idx="339">
                  <c:v>0.68825927433519396</c:v>
                </c:pt>
                <c:pt idx="340">
                  <c:v>1.2262397552790201</c:v>
                </c:pt>
                <c:pt idx="341">
                  <c:v>1.3406185429837101</c:v>
                </c:pt>
                <c:pt idx="342">
                  <c:v>1.1137904196494699</c:v>
                </c:pt>
                <c:pt idx="343">
                  <c:v>0.59757122790436901</c:v>
                </c:pt>
                <c:pt idx="344">
                  <c:v>0.97758182809382699</c:v>
                </c:pt>
                <c:pt idx="345">
                  <c:v>1.4532597025694101</c:v>
                </c:pt>
                <c:pt idx="346">
                  <c:v>1.5664033287902299</c:v>
                </c:pt>
                <c:pt idx="347">
                  <c:v>0.557212060363378</c:v>
                </c:pt>
                <c:pt idx="348">
                  <c:v>0.857835759600304</c:v>
                </c:pt>
                <c:pt idx="349">
                  <c:v>1.2473333411905201</c:v>
                </c:pt>
                <c:pt idx="350">
                  <c:v>1.68165977143882</c:v>
                </c:pt>
                <c:pt idx="351">
                  <c:v>2.0159186717545299</c:v>
                </c:pt>
                <c:pt idx="352">
                  <c:v>1.9100854209150999</c:v>
                </c:pt>
                <c:pt idx="353">
                  <c:v>1.81003883589018</c:v>
                </c:pt>
                <c:pt idx="354">
                  <c:v>1.7149139162147</c:v>
                </c:pt>
                <c:pt idx="355">
                  <c:v>1.62595632218502</c:v>
                </c:pt>
                <c:pt idx="356">
                  <c:v>1.54372360384407</c:v>
                </c:pt>
                <c:pt idx="357">
                  <c:v>1.4701814421094199</c:v>
                </c:pt>
                <c:pt idx="358">
                  <c:v>1.4068355720740799</c:v>
                </c:pt>
                <c:pt idx="359">
                  <c:v>1.3566822715236</c:v>
                </c:pt>
                <c:pt idx="360">
                  <c:v>1.3288830777635201</c:v>
                </c:pt>
                <c:pt idx="361">
                  <c:v>1.8034656993003799</c:v>
                </c:pt>
                <c:pt idx="362">
                  <c:v>1.5965704660292901</c:v>
                </c:pt>
                <c:pt idx="363">
                  <c:v>1.3949308178514801</c:v>
                </c:pt>
                <c:pt idx="364">
                  <c:v>1.1994290275467001</c:v>
                </c:pt>
                <c:pt idx="365">
                  <c:v>1.0128043109456999</c:v>
                </c:pt>
                <c:pt idx="366">
                  <c:v>0.83770002807980803</c:v>
                </c:pt>
                <c:pt idx="367">
                  <c:v>0.67875101942583804</c:v>
                </c:pt>
                <c:pt idx="368">
                  <c:v>0.54402635188939796</c:v>
                </c:pt>
                <c:pt idx="369">
                  <c:v>0.45096765471009898</c:v>
                </c:pt>
                <c:pt idx="370">
                  <c:v>0.75419176700088097</c:v>
                </c:pt>
                <c:pt idx="371">
                  <c:v>0.53203210967973402</c:v>
                </c:pt>
                <c:pt idx="372">
                  <c:v>0.47915942957538699</c:v>
                </c:pt>
                <c:pt idx="373">
                  <c:v>0.459576654418347</c:v>
                </c:pt>
                <c:pt idx="374">
                  <c:v>0.96779069106139204</c:v>
                </c:pt>
                <c:pt idx="375">
                  <c:v>1.1145543208911799</c:v>
                </c:pt>
                <c:pt idx="376">
                  <c:v>0.85211504337769195</c:v>
                </c:pt>
                <c:pt idx="377">
                  <c:v>0.73839890122321195</c:v>
                </c:pt>
                <c:pt idx="378">
                  <c:v>0.69749290318123303</c:v>
                </c:pt>
                <c:pt idx="379">
                  <c:v>1.23863187959918</c:v>
                </c:pt>
                <c:pt idx="380">
                  <c:v>1.35345250679289</c:v>
                </c:pt>
                <c:pt idx="381">
                  <c:v>1.13268322661992</c:v>
                </c:pt>
                <c:pt idx="382">
                  <c:v>0.60208351492020296</c:v>
                </c:pt>
                <c:pt idx="383">
                  <c:v>0.99587519669343305</c:v>
                </c:pt>
                <c:pt idx="384">
                  <c:v>1.46538075417963</c:v>
                </c:pt>
                <c:pt idx="385">
                  <c:v>1.57674924351204</c:v>
                </c:pt>
                <c:pt idx="386">
                  <c:v>0.55769899582948002</c:v>
                </c:pt>
                <c:pt idx="387">
                  <c:v>0.87614014693297504</c:v>
                </c:pt>
                <c:pt idx="388">
                  <c:v>1.2650845008409399</c:v>
                </c:pt>
                <c:pt idx="389">
                  <c:v>1.6894272644641299</c:v>
                </c:pt>
              </c:numCache>
            </c:numRef>
          </c:xVal>
          <c:yVal>
            <c:numRef>
              <c:f>'Training data'!$T$2:$T$391</c:f>
              <c:numCache>
                <c:formatCode>0.000</c:formatCode>
                <c:ptCount val="390"/>
                <c:pt idx="0">
                  <c:v>2.0140621057448316</c:v>
                </c:pt>
                <c:pt idx="1">
                  <c:v>1.9003656978219019</c:v>
                </c:pt>
                <c:pt idx="2">
                  <c:v>1.7935942501774473</c:v>
                </c:pt>
                <c:pt idx="3">
                  <c:v>1.6956890720276516</c:v>
                </c:pt>
                <c:pt idx="4">
                  <c:v>1.6082701050888804</c:v>
                </c:pt>
                <c:pt idx="5">
                  <c:v>1.532575596020243</c:v>
                </c:pt>
                <c:pt idx="6">
                  <c:v>1.469587040278872</c:v>
                </c:pt>
                <c:pt idx="7">
                  <c:v>1.4206950854788976</c:v>
                </c:pt>
                <c:pt idx="8">
                  <c:v>1.3895634270927837</c:v>
                </c:pt>
                <c:pt idx="9">
                  <c:v>1.3846968788070644</c:v>
                </c:pt>
                <c:pt idx="10">
                  <c:v>1.7809557268779987</c:v>
                </c:pt>
                <c:pt idx="11">
                  <c:v>1.552346820334698</c:v>
                </c:pt>
                <c:pt idx="12">
                  <c:v>1.3352160699828346</c:v>
                </c:pt>
                <c:pt idx="13">
                  <c:v>1.1355351666543352</c:v>
                </c:pt>
                <c:pt idx="14">
                  <c:v>0.95762019516401609</c:v>
                </c:pt>
                <c:pt idx="15">
                  <c:v>0.80388358347293776</c:v>
                </c:pt>
                <c:pt idx="16">
                  <c:v>0.67679912805331555</c:v>
                </c:pt>
                <c:pt idx="17">
                  <c:v>0.58647425852764046</c:v>
                </c:pt>
                <c:pt idx="18">
                  <c:v>0.55446717814807311</c:v>
                </c:pt>
                <c:pt idx="19">
                  <c:v>0.75653373973693105</c:v>
                </c:pt>
                <c:pt idx="20">
                  <c:v>0.58769560498926199</c:v>
                </c:pt>
                <c:pt idx="21">
                  <c:v>0.56165239408112433</c:v>
                </c:pt>
                <c:pt idx="22">
                  <c:v>0.55565098189599171</c:v>
                </c:pt>
                <c:pt idx="23">
                  <c:v>0.94698651227566544</c:v>
                </c:pt>
                <c:pt idx="24">
                  <c:v>1.0850517572609193</c:v>
                </c:pt>
                <c:pt idx="25">
                  <c:v>0.82135853428058436</c:v>
                </c:pt>
                <c:pt idx="26">
                  <c:v>0.72347664667804612</c:v>
                </c:pt>
                <c:pt idx="27">
                  <c:v>0.6952295850750948</c:v>
                </c:pt>
                <c:pt idx="28">
                  <c:v>1.2010796879765424</c:v>
                </c:pt>
                <c:pt idx="29">
                  <c:v>1.3105197989142718</c:v>
                </c:pt>
                <c:pt idx="30">
                  <c:v>1.0727755094632832</c:v>
                </c:pt>
                <c:pt idx="31">
                  <c:v>0.62310016628367138</c:v>
                </c:pt>
                <c:pt idx="32">
                  <c:v>0.94691340230026022</c:v>
                </c:pt>
                <c:pt idx="33">
                  <c:v>1.4208581989778013</c:v>
                </c:pt>
                <c:pt idx="34">
                  <c:v>1.5355145519237476</c:v>
                </c:pt>
                <c:pt idx="35">
                  <c:v>0.59430261537605678</c:v>
                </c:pt>
                <c:pt idx="36">
                  <c:v>0.8367404889191451</c:v>
                </c:pt>
                <c:pt idx="37">
                  <c:v>1.2016864073395439</c:v>
                </c:pt>
                <c:pt idx="38">
                  <c:v>1.6556235111336131</c:v>
                </c:pt>
                <c:pt idx="39">
                  <c:v>2.0145822362171781</c:v>
                </c:pt>
                <c:pt idx="40">
                  <c:v>1.9011291446301346</c:v>
                </c:pt>
                <c:pt idx="41">
                  <c:v>1.7945147106084649</c:v>
                </c:pt>
                <c:pt idx="42">
                  <c:v>1.6966605107415127</c:v>
                </c:pt>
                <c:pt idx="43">
                  <c:v>1.6091685679525884</c:v>
                </c:pt>
                <c:pt idx="44">
                  <c:v>1.5332643024141088</c:v>
                </c:pt>
                <c:pt idx="45">
                  <c:v>1.4699287894207678</c:v>
                </c:pt>
                <c:pt idx="46">
                  <c:v>1.4205757835500843</c:v>
                </c:pt>
                <c:pt idx="47">
                  <c:v>1.3889147079189241</c:v>
                </c:pt>
                <c:pt idx="48">
                  <c:v>1.3834111339047843</c:v>
                </c:pt>
                <c:pt idx="49">
                  <c:v>1.7819859357996224</c:v>
                </c:pt>
                <c:pt idx="50">
                  <c:v>1.553757843182856</c:v>
                </c:pt>
                <c:pt idx="51">
                  <c:v>1.3368337162673067</c:v>
                </c:pt>
                <c:pt idx="52">
                  <c:v>1.1371402813144882</c:v>
                </c:pt>
                <c:pt idx="53">
                  <c:v>0.9589515370807139</c:v>
                </c:pt>
                <c:pt idx="54">
                  <c:v>0.80466006434990589</c:v>
                </c:pt>
                <c:pt idx="55">
                  <c:v>0.67678655648052299</c:v>
                </c:pt>
                <c:pt idx="56">
                  <c:v>0.58554678696559981</c:v>
                </c:pt>
                <c:pt idx="57">
                  <c:v>0.55233628514539401</c:v>
                </c:pt>
                <c:pt idx="58">
                  <c:v>0.75545416264139187</c:v>
                </c:pt>
                <c:pt idx="59">
                  <c:v>0.58627833506894078</c:v>
                </c:pt>
                <c:pt idx="60">
                  <c:v>0.55993162015249187</c:v>
                </c:pt>
                <c:pt idx="61">
                  <c:v>0.55370059868738208</c:v>
                </c:pt>
                <c:pt idx="62">
                  <c:v>0.94677366930487461</c:v>
                </c:pt>
                <c:pt idx="63">
                  <c:v>1.0854603393238365</c:v>
                </c:pt>
                <c:pt idx="64">
                  <c:v>0.82187261251982646</c:v>
                </c:pt>
                <c:pt idx="65">
                  <c:v>0.72374006279755376</c:v>
                </c:pt>
                <c:pt idx="66">
                  <c:v>0.6949303964807324</c:v>
                </c:pt>
                <c:pt idx="67">
                  <c:v>1.2019526506573959</c:v>
                </c:pt>
                <c:pt idx="68">
                  <c:v>1.3116979499180004</c:v>
                </c:pt>
                <c:pt idx="69">
                  <c:v>1.0742292343927091</c:v>
                </c:pt>
                <c:pt idx="70">
                  <c:v>0.62251875777943966</c:v>
                </c:pt>
                <c:pt idx="71">
                  <c:v>0.94800971937281797</c:v>
                </c:pt>
                <c:pt idx="72">
                  <c:v>1.4221879198152108</c:v>
                </c:pt>
                <c:pt idx="73">
                  <c:v>1.5368572934379485</c:v>
                </c:pt>
                <c:pt idx="74">
                  <c:v>0.59347812085928908</c:v>
                </c:pt>
                <c:pt idx="75">
                  <c:v>0.83765068897955086</c:v>
                </c:pt>
                <c:pt idx="76">
                  <c:v>1.203302419986902</c:v>
                </c:pt>
                <c:pt idx="77">
                  <c:v>1.6568597618541041</c:v>
                </c:pt>
                <c:pt idx="78">
                  <c:v>2.0153007902144058</c:v>
                </c:pt>
                <c:pt idx="79">
                  <c:v>1.9022097726098379</c:v>
                </c:pt>
                <c:pt idx="80">
                  <c:v>1.7958297356329145</c:v>
                </c:pt>
                <c:pt idx="81">
                  <c:v>1.6980528394463006</c:v>
                </c:pt>
                <c:pt idx="82">
                  <c:v>1.6104546991587778</c:v>
                </c:pt>
                <c:pt idx="83">
                  <c:v>1.5342424092647424</c:v>
                </c:pt>
                <c:pt idx="84">
                  <c:v>1.470397845274789</c:v>
                </c:pt>
                <c:pt idx="85">
                  <c:v>1.4203710022958616</c:v>
                </c:pt>
                <c:pt idx="86">
                  <c:v>1.3879400021583779</c:v>
                </c:pt>
                <c:pt idx="87">
                  <c:v>1.3815066897948616</c:v>
                </c:pt>
                <c:pt idx="88">
                  <c:v>1.7834635404718608</c:v>
                </c:pt>
                <c:pt idx="89">
                  <c:v>1.5558033768693798</c:v>
                </c:pt>
                <c:pt idx="90">
                  <c:v>1.3391885046818262</c:v>
                </c:pt>
                <c:pt idx="91">
                  <c:v>1.1394784886107789</c:v>
                </c:pt>
                <c:pt idx="92">
                  <c:v>0.96088547133007352</c:v>
                </c:pt>
                <c:pt idx="93">
                  <c:v>0.80577503511012261</c:v>
                </c:pt>
                <c:pt idx="94">
                  <c:v>0.67674143163632483</c:v>
                </c:pt>
                <c:pt idx="95">
                  <c:v>0.58416050024493738</c:v>
                </c:pt>
                <c:pt idx="96">
                  <c:v>0.54917075988069974</c:v>
                </c:pt>
                <c:pt idx="97">
                  <c:v>0.7538457669652604</c:v>
                </c:pt>
                <c:pt idx="98">
                  <c:v>0.58417115385475571</c:v>
                </c:pt>
                <c:pt idx="99">
                  <c:v>0.5573752305414309</c:v>
                </c:pt>
                <c:pt idx="100">
                  <c:v>0.5508034395052458</c:v>
                </c:pt>
                <c:pt idx="101">
                  <c:v>0.94643506887815765</c:v>
                </c:pt>
                <c:pt idx="102">
                  <c:v>1.086032030453608</c:v>
                </c:pt>
                <c:pt idx="103">
                  <c:v>0.8226009226845733</c:v>
                </c:pt>
                <c:pt idx="104">
                  <c:v>0.72410006408992278</c:v>
                </c:pt>
                <c:pt idx="105">
                  <c:v>0.69446518976378935</c:v>
                </c:pt>
                <c:pt idx="106">
                  <c:v>1.2032069743464611</c:v>
                </c:pt>
                <c:pt idx="107">
                  <c:v>1.3134018488440722</c:v>
                </c:pt>
                <c:pt idx="108">
                  <c:v>1.0763435339892249</c:v>
                </c:pt>
                <c:pt idx="109">
                  <c:v>0.62163998291585487</c:v>
                </c:pt>
                <c:pt idx="110">
                  <c:v>0.94959605438090444</c:v>
                </c:pt>
                <c:pt idx="111">
                  <c:v>1.4241147750957066</c:v>
                </c:pt>
                <c:pt idx="112">
                  <c:v>1.5388018537673656</c:v>
                </c:pt>
                <c:pt idx="113">
                  <c:v>0.59224295639512425</c:v>
                </c:pt>
                <c:pt idx="114">
                  <c:v>0.83896279147524411</c:v>
                </c:pt>
                <c:pt idx="115">
                  <c:v>1.2056561751878045</c:v>
                </c:pt>
                <c:pt idx="116">
                  <c:v>1.6586446802527055</c:v>
                </c:pt>
                <c:pt idx="117">
                  <c:v>2.0163382571699322</c:v>
                </c:pt>
                <c:pt idx="118">
                  <c:v>1.9038427462985648</c:v>
                </c:pt>
                <c:pt idx="119">
                  <c:v>1.7978502744706217</c:v>
                </c:pt>
                <c:pt idx="120">
                  <c:v>1.7002044954904481</c:v>
                </c:pt>
                <c:pt idx="121">
                  <c:v>1.6124382866770435</c:v>
                </c:pt>
                <c:pt idx="122">
                  <c:v>1.5357306242915776</c:v>
                </c:pt>
                <c:pt idx="123">
                  <c:v>1.4710684329267147</c:v>
                </c:pt>
                <c:pt idx="124">
                  <c:v>1.419966037447554</c:v>
                </c:pt>
                <c:pt idx="125">
                  <c:v>1.386315784634685</c:v>
                </c:pt>
                <c:pt idx="126">
                  <c:v>1.378399735769106</c:v>
                </c:pt>
                <c:pt idx="127">
                  <c:v>1.7857494288788796</c:v>
                </c:pt>
                <c:pt idx="128">
                  <c:v>1.5590266829806678</c:v>
                </c:pt>
                <c:pt idx="129">
                  <c:v>1.3429252873781081</c:v>
                </c:pt>
                <c:pt idx="130">
                  <c:v>1.143193707915366</c:v>
                </c:pt>
                <c:pt idx="131">
                  <c:v>0.96394443462933788</c:v>
                </c:pt>
                <c:pt idx="132">
                  <c:v>0.80750534514816785</c:v>
                </c:pt>
                <c:pt idx="133">
                  <c:v>0.67660131445694505</c:v>
                </c:pt>
                <c:pt idx="134">
                  <c:v>0.58186738418128103</c:v>
                </c:pt>
                <c:pt idx="135">
                  <c:v>0.54397911422239831</c:v>
                </c:pt>
                <c:pt idx="136">
                  <c:v>0.75119820154726236</c:v>
                </c:pt>
                <c:pt idx="137">
                  <c:v>0.58071235813458777</c:v>
                </c:pt>
                <c:pt idx="138">
                  <c:v>0.5531833187240377</c:v>
                </c:pt>
                <c:pt idx="139">
                  <c:v>0.54605292492201196</c:v>
                </c:pt>
                <c:pt idx="140">
                  <c:v>0.94582427617100906</c:v>
                </c:pt>
                <c:pt idx="141">
                  <c:v>1.0868800483347267</c:v>
                </c:pt>
                <c:pt idx="142">
                  <c:v>0.82370556013737917</c:v>
                </c:pt>
                <c:pt idx="143">
                  <c:v>0.7246114927741355</c:v>
                </c:pt>
                <c:pt idx="144">
                  <c:v>0.69365108819389987</c:v>
                </c:pt>
                <c:pt idx="145">
                  <c:v>1.205155038230187</c:v>
                </c:pt>
                <c:pt idx="146">
                  <c:v>1.316076826337178</c:v>
                </c:pt>
                <c:pt idx="147">
                  <c:v>1.0796943197566478</c:v>
                </c:pt>
                <c:pt idx="148">
                  <c:v>0.62016236739426789</c:v>
                </c:pt>
                <c:pt idx="149">
                  <c:v>0.95208919183378848</c:v>
                </c:pt>
                <c:pt idx="150">
                  <c:v>1.4271492891546771</c:v>
                </c:pt>
                <c:pt idx="151">
                  <c:v>1.5418608699689731</c:v>
                </c:pt>
                <c:pt idx="152">
                  <c:v>0.59019297570231688</c:v>
                </c:pt>
                <c:pt idx="153">
                  <c:v>0.841012309043638</c:v>
                </c:pt>
                <c:pt idx="154">
                  <c:v>1.2093951186190877</c:v>
                </c:pt>
                <c:pt idx="155">
                  <c:v>1.6614379148626055</c:v>
                </c:pt>
                <c:pt idx="156">
                  <c:v>2.0178424457840958</c:v>
                </c:pt>
                <c:pt idx="157">
                  <c:v>1.9065067564792271</c:v>
                </c:pt>
                <c:pt idx="158">
                  <c:v>1.8012771492015736</c:v>
                </c:pt>
                <c:pt idx="159">
                  <c:v>1.7039024479144445</c:v>
                </c:pt>
                <c:pt idx="160">
                  <c:v>1.6158349608538081</c:v>
                </c:pt>
                <c:pt idx="161">
                  <c:v>1.5382063936231161</c:v>
                </c:pt>
                <c:pt idx="162">
                  <c:v>1.4720269681707521</c:v>
                </c:pt>
                <c:pt idx="163">
                  <c:v>1.4189524234339057</c:v>
                </c:pt>
                <c:pt idx="164">
                  <c:v>1.3830988385991212</c:v>
                </c:pt>
                <c:pt idx="165">
                  <c:v>1.3724541603044229</c:v>
                </c:pt>
                <c:pt idx="166">
                  <c:v>1.7896848536979726</c:v>
                </c:pt>
                <c:pt idx="167">
                  <c:v>1.564800400576329</c:v>
                </c:pt>
                <c:pt idx="168">
                  <c:v>1.3497177719882396</c:v>
                </c:pt>
                <c:pt idx="169">
                  <c:v>1.1499668867968609</c:v>
                </c:pt>
                <c:pt idx="170">
                  <c:v>0.96947409274141638</c:v>
                </c:pt>
                <c:pt idx="171">
                  <c:v>0.81051840145608811</c:v>
                </c:pt>
                <c:pt idx="172">
                  <c:v>0.67611223148981547</c:v>
                </c:pt>
                <c:pt idx="173">
                  <c:v>0.57737385456919033</c:v>
                </c:pt>
                <c:pt idx="174">
                  <c:v>0.53392429193393587</c:v>
                </c:pt>
                <c:pt idx="175">
                  <c:v>0.74605194530897256</c:v>
                </c:pt>
                <c:pt idx="176">
                  <c:v>0.57401479582229975</c:v>
                </c:pt>
                <c:pt idx="177">
                  <c:v>0.54507405598244019</c:v>
                </c:pt>
                <c:pt idx="178">
                  <c:v>0.53685899797423653</c:v>
                </c:pt>
                <c:pt idx="179">
                  <c:v>0.94446257137043388</c:v>
                </c:pt>
                <c:pt idx="180">
                  <c:v>1.0882173211255348</c:v>
                </c:pt>
                <c:pt idx="181">
                  <c:v>0.82553906061546611</c:v>
                </c:pt>
                <c:pt idx="182">
                  <c:v>0.7253367179025686</c:v>
                </c:pt>
                <c:pt idx="183">
                  <c:v>0.69191112728140658</c:v>
                </c:pt>
                <c:pt idx="184">
                  <c:v>1.2085481501531783</c:v>
                </c:pt>
                <c:pt idx="185">
                  <c:v>1.3208367539364358</c:v>
                </c:pt>
                <c:pt idx="186">
                  <c:v>1.0857732080515126</c:v>
                </c:pt>
                <c:pt idx="187">
                  <c:v>0.61718992286922847</c:v>
                </c:pt>
                <c:pt idx="188">
                  <c:v>0.95653998994831901</c:v>
                </c:pt>
                <c:pt idx="189">
                  <c:v>1.4325809661883664</c:v>
                </c:pt>
                <c:pt idx="190">
                  <c:v>1.5473218914943043</c:v>
                </c:pt>
                <c:pt idx="191">
                  <c:v>0.58615425688681044</c:v>
                </c:pt>
                <c:pt idx="192">
                  <c:v>0.84462780855988895</c:v>
                </c:pt>
                <c:pt idx="193">
                  <c:v>1.2162071588414602</c:v>
                </c:pt>
                <c:pt idx="194">
                  <c:v>1.6663686992418119</c:v>
                </c:pt>
                <c:pt idx="195">
                  <c:v>2.0188121089482181</c:v>
                </c:pt>
                <c:pt idx="196">
                  <c:v>1.9096617783107912</c:v>
                </c:pt>
                <c:pt idx="197">
                  <c:v>1.8059042186036858</c:v>
                </c:pt>
                <c:pt idx="198">
                  <c:v>1.7091090450246229</c:v>
                </c:pt>
                <c:pt idx="199">
                  <c:v>1.6205877594150513</c:v>
                </c:pt>
                <c:pt idx="200">
                  <c:v>1.5414118412082156</c:v>
                </c:pt>
                <c:pt idx="201">
                  <c:v>1.4726843457824907</c:v>
                </c:pt>
                <c:pt idx="202">
                  <c:v>1.4163788963819082</c:v>
                </c:pt>
                <c:pt idx="203">
                  <c:v>1.3770130535105038</c:v>
                </c:pt>
                <c:pt idx="204">
                  <c:v>1.3617464989966002</c:v>
                </c:pt>
                <c:pt idx="205">
                  <c:v>1.7952328104021285</c:v>
                </c:pt>
                <c:pt idx="206">
                  <c:v>1.5738621983216281</c:v>
                </c:pt>
                <c:pt idx="207">
                  <c:v>1.360777864002491</c:v>
                </c:pt>
                <c:pt idx="208">
                  <c:v>1.1610911178422509</c:v>
                </c:pt>
                <c:pt idx="209">
                  <c:v>0.97840989560305036</c:v>
                </c:pt>
                <c:pt idx="210">
                  <c:v>0.81501353212594874</c:v>
                </c:pt>
                <c:pt idx="211">
                  <c:v>0.67456355977356341</c:v>
                </c:pt>
                <c:pt idx="212">
                  <c:v>0.56895594115645542</c:v>
                </c:pt>
                <c:pt idx="213">
                  <c:v>0.51520795843891631</c:v>
                </c:pt>
                <c:pt idx="214">
                  <c:v>0.73652975689827438</c:v>
                </c:pt>
                <c:pt idx="215">
                  <c:v>0.56164127340301528</c:v>
                </c:pt>
                <c:pt idx="216">
                  <c:v>0.53006523224862467</c:v>
                </c:pt>
                <c:pt idx="217">
                  <c:v>0.51979174338962386</c:v>
                </c:pt>
                <c:pt idx="218">
                  <c:v>0.94143666810758975</c:v>
                </c:pt>
                <c:pt idx="219">
                  <c:v>1.0897263914747684</c:v>
                </c:pt>
                <c:pt idx="220">
                  <c:v>0.82796985865258155</c:v>
                </c:pt>
                <c:pt idx="221">
                  <c:v>0.72586551592690329</c:v>
                </c:pt>
                <c:pt idx="222">
                  <c:v>0.68823690243627678</c:v>
                </c:pt>
                <c:pt idx="223">
                  <c:v>1.2135756506389246</c:v>
                </c:pt>
                <c:pt idx="224">
                  <c:v>1.3282295725712743</c:v>
                </c:pt>
                <c:pt idx="225">
                  <c:v>1.0956597372297758</c:v>
                </c:pt>
                <c:pt idx="226">
                  <c:v>0.61140875182422871</c:v>
                </c:pt>
                <c:pt idx="227">
                  <c:v>0.96354361275493761</c:v>
                </c:pt>
                <c:pt idx="228">
                  <c:v>1.4411134233557235</c:v>
                </c:pt>
                <c:pt idx="229">
                  <c:v>1.5558281877932516</c:v>
                </c:pt>
                <c:pt idx="230">
                  <c:v>0.57853120141518855</c:v>
                </c:pt>
                <c:pt idx="231">
                  <c:v>0.85017842633896878</c:v>
                </c:pt>
                <c:pt idx="232">
                  <c:v>1.2273720905496162</c:v>
                </c:pt>
                <c:pt idx="233">
                  <c:v>1.6738216548523202</c:v>
                </c:pt>
                <c:pt idx="234">
                  <c:v>2.0184246404974457</c:v>
                </c:pt>
                <c:pt idx="235">
                  <c:v>1.9102953329819186</c:v>
                </c:pt>
                <c:pt idx="236">
                  <c:v>1.8072446749795397</c:v>
                </c:pt>
                <c:pt idx="237">
                  <c:v>1.7107588237071978</c:v>
                </c:pt>
                <c:pt idx="238">
                  <c:v>1.6220892614629308</c:v>
                </c:pt>
                <c:pt idx="239">
                  <c:v>1.5422932639051785</c:v>
                </c:pt>
                <c:pt idx="240">
                  <c:v>1.4725391880735841</c:v>
                </c:pt>
                <c:pt idx="241">
                  <c:v>1.4149678459525528</c:v>
                </c:pt>
                <c:pt idx="242">
                  <c:v>1.3742604801568512</c:v>
                </c:pt>
                <c:pt idx="243">
                  <c:v>1.3570345387809515</c:v>
                </c:pt>
                <c:pt idx="244">
                  <c:v>1.796981908691706</c:v>
                </c:pt>
                <c:pt idx="245">
                  <c:v>1.5772784476530552</c:v>
                </c:pt>
                <c:pt idx="246">
                  <c:v>1.365170224947017</c:v>
                </c:pt>
                <c:pt idx="247">
                  <c:v>1.1655706011797777</c:v>
                </c:pt>
                <c:pt idx="248">
                  <c:v>0.98195537934300259</c:v>
                </c:pt>
                <c:pt idx="249">
                  <c:v>0.81664728710272849</c:v>
                </c:pt>
                <c:pt idx="250">
                  <c:v>0.67365098048863603</c:v>
                </c:pt>
                <c:pt idx="251">
                  <c:v>0.56513310679764206</c:v>
                </c:pt>
                <c:pt idx="252">
                  <c:v>0.50657968223277472</c:v>
                </c:pt>
                <c:pt idx="253">
                  <c:v>0.73224117723716275</c:v>
                </c:pt>
                <c:pt idx="254">
                  <c:v>0.55603321495011226</c:v>
                </c:pt>
                <c:pt idx="255">
                  <c:v>0.5232165703834849</c:v>
                </c:pt>
                <c:pt idx="256">
                  <c:v>0.51195863158777921</c:v>
                </c:pt>
                <c:pt idx="257">
                  <c:v>0.93991341514780025</c:v>
                </c:pt>
                <c:pt idx="258">
                  <c:v>1.0900526501113275</c:v>
                </c:pt>
                <c:pt idx="259">
                  <c:v>0.82872073127075663</c:v>
                </c:pt>
                <c:pt idx="260">
                  <c:v>0.72582121295405677</c:v>
                </c:pt>
                <c:pt idx="261">
                  <c:v>0.68643982584860697</c:v>
                </c:pt>
                <c:pt idx="262">
                  <c:v>1.2153600614904647</c:v>
                </c:pt>
                <c:pt idx="263">
                  <c:v>1.3310037182288426</c:v>
                </c:pt>
                <c:pt idx="264">
                  <c:v>1.0996019853746786</c:v>
                </c:pt>
                <c:pt idx="265">
                  <c:v>0.60872329273435655</c:v>
                </c:pt>
                <c:pt idx="266">
                  <c:v>0.96624226292417614</c:v>
                </c:pt>
                <c:pt idx="267">
                  <c:v>1.4443485609088889</c:v>
                </c:pt>
                <c:pt idx="268">
                  <c:v>1.5590048179048424</c:v>
                </c:pt>
                <c:pt idx="269">
                  <c:v>0.57505527319179628</c:v>
                </c:pt>
                <c:pt idx="270">
                  <c:v>0.85226328819893638</c:v>
                </c:pt>
                <c:pt idx="271">
                  <c:v>1.2318521018922306</c:v>
                </c:pt>
                <c:pt idx="272">
                  <c:v>1.6764761670667321</c:v>
                </c:pt>
                <c:pt idx="273">
                  <c:v>2.0167526206642088</c:v>
                </c:pt>
                <c:pt idx="274">
                  <c:v>1.91021330548076</c:v>
                </c:pt>
                <c:pt idx="275">
                  <c:v>1.8082946120054562</c:v>
                </c:pt>
                <c:pt idx="276">
                  <c:v>1.7123541109924574</c:v>
                </c:pt>
                <c:pt idx="277">
                  <c:v>1.6235585965120327</c:v>
                </c:pt>
                <c:pt idx="278">
                  <c:v>1.5429623742484329</c:v>
                </c:pt>
                <c:pt idx="279">
                  <c:v>1.4718625271581871</c:v>
                </c:pt>
                <c:pt idx="280">
                  <c:v>1.4126749706553214</c:v>
                </c:pt>
                <c:pt idx="281">
                  <c:v>1.3702783913701984</c:v>
                </c:pt>
                <c:pt idx="282">
                  <c:v>1.3501919076450957</c:v>
                </c:pt>
                <c:pt idx="283">
                  <c:v>1.7986314315369514</c:v>
                </c:pt>
                <c:pt idx="284">
                  <c:v>1.5815618114439602</c:v>
                </c:pt>
                <c:pt idx="285">
                  <c:v>1.3710411902745259</c:v>
                </c:pt>
                <c:pt idx="286">
                  <c:v>1.1716731363171897</c:v>
                </c:pt>
                <c:pt idx="287">
                  <c:v>0.98675234387884692</c:v>
                </c:pt>
                <c:pt idx="288">
                  <c:v>0.81872574544839216</c:v>
                </c:pt>
                <c:pt idx="289">
                  <c:v>0.67216537293824563</c:v>
                </c:pt>
                <c:pt idx="290">
                  <c:v>0.55948213984002571</c:v>
                </c:pt>
                <c:pt idx="291">
                  <c:v>0.49331313348535544</c:v>
                </c:pt>
                <c:pt idx="292">
                  <c:v>0.72591653857525518</c:v>
                </c:pt>
                <c:pt idx="293">
                  <c:v>0.54763322840070627</c:v>
                </c:pt>
                <c:pt idx="294">
                  <c:v>0.51283473147089931</c:v>
                </c:pt>
                <c:pt idx="295">
                  <c:v>0.49998500308453464</c:v>
                </c:pt>
                <c:pt idx="296">
                  <c:v>0.93758496223871435</c:v>
                </c:pt>
                <c:pt idx="297">
                  <c:v>1.0902248128586502</c:v>
                </c:pt>
                <c:pt idx="298">
                  <c:v>0.82954674131858164</c:v>
                </c:pt>
                <c:pt idx="299">
                  <c:v>0.72554480060261384</c:v>
                </c:pt>
                <c:pt idx="300">
                  <c:v>0.68372166497768083</c:v>
                </c:pt>
                <c:pt idx="301">
                  <c:v>1.217519527362882</c:v>
                </c:pt>
                <c:pt idx="302">
                  <c:v>1.3345184362017628</c:v>
                </c:pt>
                <c:pt idx="303">
                  <c:v>1.1049381414516661</c:v>
                </c:pt>
                <c:pt idx="304">
                  <c:v>0.60474071477245472</c:v>
                </c:pt>
                <c:pt idx="305">
                  <c:v>0.96981158680840374</c:v>
                </c:pt>
                <c:pt idx="306">
                  <c:v>1.4484619948654225</c:v>
                </c:pt>
                <c:pt idx="307">
                  <c:v>1.5629496525018607</c:v>
                </c:pt>
                <c:pt idx="308">
                  <c:v>0.56992024219121584</c:v>
                </c:pt>
                <c:pt idx="309">
                  <c:v>0.85497945138387499</c:v>
                </c:pt>
                <c:pt idx="310">
                  <c:v>1.2379244504255285</c:v>
                </c:pt>
                <c:pt idx="311">
                  <c:v>1.679559101492778</c:v>
                </c:pt>
                <c:pt idx="312">
                  <c:v>2.0108761491961014</c:v>
                </c:pt>
                <c:pt idx="313">
                  <c:v>1.9070878175775632</c:v>
                </c:pt>
                <c:pt idx="314">
                  <c:v>1.8072517028462758</c:v>
                </c:pt>
                <c:pt idx="315">
                  <c:v>1.7125126410059091</c:v>
                </c:pt>
                <c:pt idx="316">
                  <c:v>1.6239226536650748</c:v>
                </c:pt>
                <c:pt idx="317">
                  <c:v>1.5425902691469267</c:v>
                </c:pt>
                <c:pt idx="318">
                  <c:v>1.4701035772418809</c:v>
                </c:pt>
                <c:pt idx="319">
                  <c:v>1.4093470052161856</c:v>
                </c:pt>
                <c:pt idx="320">
                  <c:v>1.3652436578070817</c:v>
                </c:pt>
                <c:pt idx="321">
                  <c:v>1.3404166229464427</c:v>
                </c:pt>
                <c:pt idx="322">
                  <c:v>1.7984719708980816</c:v>
                </c:pt>
                <c:pt idx="323">
                  <c:v>1.5860925617831048</c:v>
                </c:pt>
                <c:pt idx="324">
                  <c:v>1.3785816196157028</c:v>
                </c:pt>
                <c:pt idx="325">
                  <c:v>1.1800110987630292</c:v>
                </c:pt>
                <c:pt idx="326">
                  <c:v>0.99344744575434352</c:v>
                </c:pt>
                <c:pt idx="327">
                  <c:v>0.82171217661063822</c:v>
                </c:pt>
                <c:pt idx="328">
                  <c:v>0.67035223632948882</c:v>
                </c:pt>
                <c:pt idx="329">
                  <c:v>0.55140695893807179</c:v>
                </c:pt>
                <c:pt idx="330">
                  <c:v>0.4709650624520002</c:v>
                </c:pt>
                <c:pt idx="331">
                  <c:v>0.71675722012392218</c:v>
                </c:pt>
                <c:pt idx="332">
                  <c:v>0.53463448446841666</c:v>
                </c:pt>
                <c:pt idx="333">
                  <c:v>0.49607051094753485</c:v>
                </c:pt>
                <c:pt idx="334">
                  <c:v>0.48014754602794174</c:v>
                </c:pt>
                <c:pt idx="335">
                  <c:v>0.93464995136166518</c:v>
                </c:pt>
                <c:pt idx="336">
                  <c:v>1.0903683687917778</c:v>
                </c:pt>
                <c:pt idx="337">
                  <c:v>0.8308041744954241</c:v>
                </c:pt>
                <c:pt idx="338">
                  <c:v>0.72536114450065015</c:v>
                </c:pt>
                <c:pt idx="339">
                  <c:v>0.6802121653657901</c:v>
                </c:pt>
                <c:pt idx="340">
                  <c:v>1.2200620173294556</c:v>
                </c:pt>
                <c:pt idx="341">
                  <c:v>1.3386747088683846</c:v>
                </c:pt>
                <c:pt idx="342">
                  <c:v>1.1122459170831083</c:v>
                </c:pt>
                <c:pt idx="343">
                  <c:v>0.59935732709428946</c:v>
                </c:pt>
                <c:pt idx="344">
                  <c:v>0.97474434858374404</c:v>
                </c:pt>
                <c:pt idx="345">
                  <c:v>1.4531663401479493</c:v>
                </c:pt>
                <c:pt idx="346">
                  <c:v>1.5670430474838044</c:v>
                </c:pt>
                <c:pt idx="347">
                  <c:v>0.56270563516456396</c:v>
                </c:pt>
                <c:pt idx="348">
                  <c:v>0.85882888764204568</c:v>
                </c:pt>
                <c:pt idx="349">
                  <c:v>1.2460819200855267</c:v>
                </c:pt>
                <c:pt idx="350">
                  <c:v>1.6819660940714387</c:v>
                </c:pt>
                <c:pt idx="351">
                  <c:v>1.9968894769640833</c:v>
                </c:pt>
                <c:pt idx="352">
                  <c:v>1.8983415321124113</c:v>
                </c:pt>
                <c:pt idx="353">
                  <c:v>1.8033976712817394</c:v>
                </c:pt>
                <c:pt idx="354">
                  <c:v>1.7129321380548683</c:v>
                </c:pt>
                <c:pt idx="355">
                  <c:v>1.627951558312573</c:v>
                </c:pt>
                <c:pt idx="356">
                  <c:v>1.5498281888944732</c:v>
                </c:pt>
                <c:pt idx="357">
                  <c:v>1.4806156583905281</c:v>
                </c:pt>
                <c:pt idx="358">
                  <c:v>1.4231480391230718</c:v>
                </c:pt>
                <c:pt idx="359">
                  <c:v>1.3794860707742882</c:v>
                </c:pt>
                <c:pt idx="360">
                  <c:v>1.339764044014538</c:v>
                </c:pt>
                <c:pt idx="361">
                  <c:v>1.7950411024126849</c:v>
                </c:pt>
                <c:pt idx="362">
                  <c:v>1.5923360345107938</c:v>
                </c:pt>
                <c:pt idx="363">
                  <c:v>1.3924420920847664</c:v>
                </c:pt>
                <c:pt idx="364">
                  <c:v>1.1986045478165073</c:v>
                </c:pt>
                <c:pt idx="365">
                  <c:v>1.013820768651251</c:v>
                </c:pt>
                <c:pt idx="366">
                  <c:v>0.841719969672862</c:v>
                </c:pt>
                <c:pt idx="367">
                  <c:v>0.68772894250098904</c:v>
                </c:pt>
                <c:pt idx="368">
                  <c:v>0.55658614762143721</c:v>
                </c:pt>
                <c:pt idx="369">
                  <c:v>0.43340854612902213</c:v>
                </c:pt>
                <c:pt idx="370">
                  <c:v>0.71879715087694029</c:v>
                </c:pt>
                <c:pt idx="371">
                  <c:v>0.52532820561014149</c:v>
                </c:pt>
                <c:pt idx="372">
                  <c:v>0.47532191440581706</c:v>
                </c:pt>
                <c:pt idx="373">
                  <c:v>0.45009992596058368</c:v>
                </c:pt>
                <c:pt idx="374">
                  <c:v>0.95101172591369132</c:v>
                </c:pt>
                <c:pt idx="375">
                  <c:v>1.1073189098372755</c:v>
                </c:pt>
                <c:pt idx="376">
                  <c:v>0.8499384715614956</c:v>
                </c:pt>
                <c:pt idx="377">
                  <c:v>0.74402927873211977</c:v>
                </c:pt>
                <c:pt idx="378">
                  <c:v>0.69553210475759231</c:v>
                </c:pt>
                <c:pt idx="379">
                  <c:v>1.2353529544013933</c:v>
                </c:pt>
                <c:pt idx="380">
                  <c:v>1.3518359787773324</c:v>
                </c:pt>
                <c:pt idx="381">
                  <c:v>1.1313154552508458</c:v>
                </c:pt>
                <c:pt idx="382">
                  <c:v>0.61116523957228053</c:v>
                </c:pt>
                <c:pt idx="383">
                  <c:v>0.99436956800801457</c:v>
                </c:pt>
                <c:pt idx="384">
                  <c:v>1.4635587448011163</c:v>
                </c:pt>
                <c:pt idx="385">
                  <c:v>1.5737245425501403</c:v>
                </c:pt>
                <c:pt idx="386">
                  <c:v>0.57016384340409154</c:v>
                </c:pt>
                <c:pt idx="387">
                  <c:v>0.87900725930991841</c:v>
                </c:pt>
                <c:pt idx="388">
                  <c:v>1.2632950769114255</c:v>
                </c:pt>
                <c:pt idx="389">
                  <c:v>1.6839629503777278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5-4613-A6EC-EC8FBC8B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46208"/>
        <c:axId val="1488045728"/>
      </c:scatterChart>
      <c:valAx>
        <c:axId val="1488046208"/>
        <c:scaling>
          <c:orientation val="minMax"/>
          <c:max val="2.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 b="1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45728"/>
        <c:crosses val="autoZero"/>
        <c:crossBetween val="midCat"/>
      </c:valAx>
      <c:valAx>
        <c:axId val="1488045728"/>
        <c:scaling>
          <c:orientation val="minMax"/>
          <c:max val="2.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 b="1"/>
                  <a:t>m_ann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4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ECD9A1-2C92-470A-9D9D-320911B3442B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20843" cy="78525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97B2DC-301C-7C8E-FBA2-CC2C8374D2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2B8F-3A04-4DCC-B8DF-0C2208CFA9A1}">
  <dimension ref="A1:AC392"/>
  <sheetViews>
    <sheetView tabSelected="1" zoomScale="90" zoomScaleNormal="90" workbookViewId="0">
      <pane xSplit="13" topLeftCell="N1" activePane="topRight" state="frozen"/>
      <selection pane="topRight" activeCell="A393" sqref="A393:XFD1048576"/>
    </sheetView>
  </sheetViews>
  <sheetFormatPr baseColWidth="10" defaultColWidth="0" defaultRowHeight="14.4" zeroHeight="1" x14ac:dyDescent="0.3"/>
  <cols>
    <col min="1" max="21" width="11.5546875" customWidth="1"/>
    <col min="22" max="22" width="12.77734375" customWidth="1"/>
    <col min="23" max="24" width="11.5546875" customWidth="1"/>
    <col min="25" max="29" width="0" hidden="1" customWidth="1"/>
    <col min="30" max="16384" width="11.5546875" hidden="1"/>
  </cols>
  <sheetData>
    <row r="1" spans="1:24" ht="14.4" customHeight="1" x14ac:dyDescent="0.3">
      <c r="A1" s="6" t="s">
        <v>9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11</v>
      </c>
      <c r="H1" s="26" t="s">
        <v>0</v>
      </c>
      <c r="I1" s="3">
        <v>3.8777054316785247</v>
      </c>
      <c r="J1" s="3">
        <v>0.42089535481985185</v>
      </c>
      <c r="K1" s="3">
        <v>-1.9387117706218049</v>
      </c>
      <c r="L1" s="4">
        <v>-0.65094550206487745</v>
      </c>
      <c r="M1" s="13">
        <v>-0.35317006614039093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6" t="s">
        <v>7</v>
      </c>
      <c r="T1" s="6" t="s">
        <v>19</v>
      </c>
      <c r="U1" s="6" t="s">
        <v>20</v>
      </c>
      <c r="V1" s="6" t="s">
        <v>10</v>
      </c>
      <c r="W1" s="6" t="s">
        <v>21</v>
      </c>
      <c r="X1" s="6" t="s">
        <v>24</v>
      </c>
    </row>
    <row r="2" spans="1:24" x14ac:dyDescent="0.3">
      <c r="A2" s="9">
        <v>1</v>
      </c>
      <c r="B2" s="9">
        <v>1</v>
      </c>
      <c r="C2" s="9">
        <v>1</v>
      </c>
      <c r="D2" s="9">
        <v>1</v>
      </c>
      <c r="E2" s="9">
        <v>1</v>
      </c>
      <c r="F2" s="9">
        <v>0</v>
      </c>
      <c r="G2" s="9">
        <v>2.01412996122267</v>
      </c>
      <c r="H2" s="26"/>
      <c r="I2" s="3">
        <v>-2.9636557706216236</v>
      </c>
      <c r="J2" s="3">
        <v>3.6011102835522393</v>
      </c>
      <c r="K2" s="3">
        <v>2.9403760280486586</v>
      </c>
      <c r="L2" s="4">
        <v>1.0588536582586749</v>
      </c>
      <c r="M2" s="13">
        <v>-0.23723807360539542</v>
      </c>
      <c r="N2" s="9">
        <f t="shared" ref="N2:N65" si="0">B2*$I$1+C2*$J$1+D2*$K$1+E2*$L$1+F2*$M$1+$I$4</f>
        <v>-1.2838961897814816</v>
      </c>
      <c r="O2" s="9">
        <f t="shared" ref="O2:O65" si="1">$I$2*B2+$J$2*C2+$K$2*D2+$L$2*E2+$M$2*F2+$I$5</f>
        <v>3.2299027323111593</v>
      </c>
      <c r="P2" s="9">
        <f t="shared" ref="P2:P65" si="2">$I$3*B2+$J$3*C2+$K$3*D2+$L$3*E2+$M$3*F2+$I$6</f>
        <v>0.48175852413553732</v>
      </c>
      <c r="Q2" s="9">
        <f>1/(1+EXP(-N2))</f>
        <v>0.21688773576883813</v>
      </c>
      <c r="R2" s="9">
        <f t="shared" ref="R2:S17" si="3">1/(1+EXP(-O2))</f>
        <v>0.96194419235593376</v>
      </c>
      <c r="S2" s="9">
        <f t="shared" si="3"/>
        <v>0.61816303856437249</v>
      </c>
      <c r="T2" s="9">
        <f t="shared" ref="T2:T65" si="4">$I$7*Q2+$J$7*R2+$K$7*S2+$I$8</f>
        <v>2.0140621057448316</v>
      </c>
      <c r="U2" s="14">
        <f>(G2-T2)^2</f>
        <v>4.6043658726756289E-9</v>
      </c>
      <c r="V2" s="14">
        <f>SUM(U2:U391)</f>
        <v>1.5804162757550366E-2</v>
      </c>
      <c r="W2" s="14">
        <f t="shared" ref="W2:W65" si="5">(G2-$V$4)^2</f>
        <v>0.74881279662301214</v>
      </c>
      <c r="X2" s="16">
        <f>100*ABS((T2-G2)/G2)</f>
        <v>3.3689721688661099E-3</v>
      </c>
    </row>
    <row r="3" spans="1:24" x14ac:dyDescent="0.3">
      <c r="A3" s="9">
        <v>2</v>
      </c>
      <c r="B3" s="9">
        <v>0.99805795702633604</v>
      </c>
      <c r="C3" s="9">
        <v>0.99902850661346798</v>
      </c>
      <c r="D3" s="9">
        <v>0.99708835032170995</v>
      </c>
      <c r="E3" s="9">
        <v>0.90500000000000003</v>
      </c>
      <c r="F3" s="9">
        <v>0</v>
      </c>
      <c r="G3" s="9">
        <v>1.8969138290702601</v>
      </c>
      <c r="H3" s="26"/>
      <c r="I3" s="3">
        <v>-1.1329318778448056</v>
      </c>
      <c r="J3" s="3">
        <v>-1.9409389403678001</v>
      </c>
      <c r="K3" s="3">
        <v>4.4785080273477993</v>
      </c>
      <c r="L3" s="4">
        <v>-0.56272180335922528</v>
      </c>
      <c r="M3" s="13">
        <v>-1.4530315948626047</v>
      </c>
      <c r="N3" s="9">
        <f t="shared" si="0"/>
        <v>-1.2243510852232493</v>
      </c>
      <c r="O3" s="9">
        <f t="shared" si="1"/>
        <v>3.1230073819015169</v>
      </c>
      <c r="P3" s="9">
        <f t="shared" si="2"/>
        <v>0.52626306073485518</v>
      </c>
      <c r="Q3" s="9">
        <f t="shared" ref="Q3:S66" si="6">1/(1+EXP(-N3))</f>
        <v>0.22717164695448666</v>
      </c>
      <c r="R3" s="9">
        <f t="shared" si="3"/>
        <v>0.95783186365195638</v>
      </c>
      <c r="S3" s="9">
        <f t="shared" si="3"/>
        <v>0.62861110929089081</v>
      </c>
      <c r="T3" s="9">
        <f t="shared" si="4"/>
        <v>1.9003656978219019</v>
      </c>
      <c r="U3" s="14">
        <f t="shared" ref="U3:U66" si="7">(G3-T3)^2</f>
        <v>1.1915397878561319E-5</v>
      </c>
      <c r="V3" s="6" t="s">
        <v>22</v>
      </c>
      <c r="W3" s="14">
        <f t="shared" si="5"/>
        <v>0.55968887296519176</v>
      </c>
      <c r="X3" s="16">
        <f t="shared" ref="X3:X66" si="8">100*ABS((T3-G3)/G3)</f>
        <v>0.1819728813582272</v>
      </c>
    </row>
    <row r="4" spans="1:24" x14ac:dyDescent="0.3">
      <c r="A4" s="9">
        <v>3</v>
      </c>
      <c r="B4" s="9">
        <v>0.99152490614171696</v>
      </c>
      <c r="C4" s="9">
        <v>0.99575343641973801</v>
      </c>
      <c r="D4" s="9">
        <v>0.98731433258637302</v>
      </c>
      <c r="E4" s="9">
        <v>0.82</v>
      </c>
      <c r="F4" s="9">
        <v>0</v>
      </c>
      <c r="G4" s="9">
        <v>1.78784643102857</v>
      </c>
      <c r="H4" s="27" t="s">
        <v>13</v>
      </c>
      <c r="I4" s="5">
        <v>-2.9928397035931753</v>
      </c>
      <c r="N4" s="9">
        <f t="shared" si="0"/>
        <v>-1.1767834230499408</v>
      </c>
      <c r="O4" s="9">
        <f t="shared" si="1"/>
        <v>3.0118333585027912</v>
      </c>
      <c r="P4" s="9">
        <f t="shared" si="2"/>
        <v>0.54407961001145888</v>
      </c>
      <c r="Q4" s="9">
        <f t="shared" si="6"/>
        <v>0.23563103813653211</v>
      </c>
      <c r="R4" s="9">
        <f t="shared" si="3"/>
        <v>0.95310586452183554</v>
      </c>
      <c r="S4" s="9">
        <f t="shared" si="3"/>
        <v>0.63276092762954983</v>
      </c>
      <c r="T4" s="9">
        <f t="shared" si="4"/>
        <v>1.7935942501774473</v>
      </c>
      <c r="U4" s="14">
        <f t="shared" si="7"/>
        <v>3.3037424968201053E-5</v>
      </c>
      <c r="V4" s="9">
        <f>AVERAGE(G2:G391)</f>
        <v>1.1487902610915526</v>
      </c>
      <c r="W4" s="14">
        <f t="shared" si="5"/>
        <v>0.4083927883345701</v>
      </c>
      <c r="X4" s="16">
        <f t="shared" si="8"/>
        <v>0.32149400804914496</v>
      </c>
    </row>
    <row r="5" spans="1:24" x14ac:dyDescent="0.3">
      <c r="A5" s="9">
        <v>4</v>
      </c>
      <c r="B5" s="9">
        <v>0.97911342554320102</v>
      </c>
      <c r="C5" s="9">
        <v>0.98950160461881098</v>
      </c>
      <c r="D5" s="9">
        <v>0.96883430567881701</v>
      </c>
      <c r="E5" s="9">
        <v>0.745</v>
      </c>
      <c r="F5" s="9">
        <v>0</v>
      </c>
      <c r="G5" s="9">
        <v>1.6907984306621799</v>
      </c>
      <c r="H5" s="27"/>
      <c r="I5" s="5">
        <v>-1.40678146692679</v>
      </c>
      <c r="N5" s="9">
        <f t="shared" si="0"/>
        <v>-1.1428944974041508</v>
      </c>
      <c r="O5" s="9">
        <f t="shared" si="1"/>
        <v>2.8923509263251113</v>
      </c>
      <c r="P5" s="9">
        <f t="shared" si="2"/>
        <v>0.52971658222466733</v>
      </c>
      <c r="Q5" s="9">
        <f t="shared" si="6"/>
        <v>0.24178932423509492</v>
      </c>
      <c r="R5" s="9">
        <f t="shared" si="3"/>
        <v>0.94746701801936795</v>
      </c>
      <c r="S5" s="9">
        <f t="shared" si="3"/>
        <v>0.62941700684544866</v>
      </c>
      <c r="T5" s="9">
        <f t="shared" si="4"/>
        <v>1.6956890720276516</v>
      </c>
      <c r="U5" s="14">
        <f t="shared" si="7"/>
        <v>2.3918372965662715E-5</v>
      </c>
      <c r="V5" s="6" t="s">
        <v>23</v>
      </c>
      <c r="W5" s="14">
        <f t="shared" si="5"/>
        <v>0.29377285588130192</v>
      </c>
      <c r="X5" s="16">
        <f t="shared" si="8"/>
        <v>0.28925040837400845</v>
      </c>
    </row>
    <row r="6" spans="1:24" x14ac:dyDescent="0.3">
      <c r="A6" s="9">
        <v>5</v>
      </c>
      <c r="B6" s="9">
        <v>0.95913394700955001</v>
      </c>
      <c r="C6" s="9">
        <v>0.97935384157593897</v>
      </c>
      <c r="D6" s="9">
        <v>0.93933151558969596</v>
      </c>
      <c r="E6" s="9">
        <v>0.68</v>
      </c>
      <c r="F6" s="9">
        <v>0</v>
      </c>
      <c r="G6" s="9">
        <v>1.60262533020281</v>
      </c>
      <c r="H6" s="27"/>
      <c r="I6" s="5">
        <v>-0.36015688164043114</v>
      </c>
      <c r="N6" s="9">
        <f t="shared" si="0"/>
        <v>-1.1251313121165709</v>
      </c>
      <c r="O6" s="9">
        <f t="shared" si="1"/>
        <v>2.7594452248012225</v>
      </c>
      <c r="P6" s="9">
        <f t="shared" si="2"/>
        <v>0.47649659378075693</v>
      </c>
      <c r="Q6" s="9">
        <f t="shared" si="6"/>
        <v>0.24506071879454794</v>
      </c>
      <c r="R6" s="9">
        <f t="shared" si="3"/>
        <v>0.94044456944305954</v>
      </c>
      <c r="S6" s="9">
        <f t="shared" si="3"/>
        <v>0.61692025584549637</v>
      </c>
      <c r="T6" s="9">
        <f t="shared" si="4"/>
        <v>1.6082701050888804</v>
      </c>
      <c r="U6" s="14">
        <f t="shared" si="7"/>
        <v>3.186348351441113E-5</v>
      </c>
      <c r="V6" s="10">
        <f>SUM(W2:W391)</f>
        <v>75.628740678878117</v>
      </c>
      <c r="W6" s="14">
        <f t="shared" si="5"/>
        <v>0.20596626995521974</v>
      </c>
      <c r="X6" s="16">
        <f t="shared" si="8"/>
        <v>0.35222049593812826</v>
      </c>
    </row>
    <row r="7" spans="1:24" x14ac:dyDescent="0.3">
      <c r="A7" s="9">
        <v>6</v>
      </c>
      <c r="B7" s="9">
        <v>0.92929286340991601</v>
      </c>
      <c r="C7" s="9">
        <v>0.96399837313655001</v>
      </c>
      <c r="D7" s="9">
        <v>0.89583680849456504</v>
      </c>
      <c r="E7" s="9">
        <v>0.625</v>
      </c>
      <c r="F7" s="9">
        <v>0</v>
      </c>
      <c r="G7" s="9">
        <v>1.52844000074346</v>
      </c>
      <c r="H7" s="11" t="s">
        <v>1</v>
      </c>
      <c r="I7" s="7">
        <v>-10.976444592355595</v>
      </c>
      <c r="J7" s="7">
        <v>4.3954161226160258</v>
      </c>
      <c r="K7" s="7">
        <v>1.651957546784143</v>
      </c>
      <c r="N7" s="9">
        <f t="shared" si="0"/>
        <v>-1.1271835861966193</v>
      </c>
      <c r="O7" s="9">
        <f t="shared" si="1"/>
        <v>2.6064594438132866</v>
      </c>
      <c r="P7" s="9">
        <f t="shared" si="2"/>
        <v>0.37626683961388518</v>
      </c>
      <c r="Q7" s="9">
        <f t="shared" si="6"/>
        <v>0.24468123453359913</v>
      </c>
      <c r="R7" s="9">
        <f t="shared" si="3"/>
        <v>0.93127614324986341</v>
      </c>
      <c r="S7" s="9">
        <f t="shared" si="3"/>
        <v>0.59297239544131308</v>
      </c>
      <c r="T7" s="9">
        <f t="shared" si="4"/>
        <v>1.532575596020243</v>
      </c>
      <c r="U7" s="14">
        <f t="shared" si="7"/>
        <v>1.7103148293349672E-5</v>
      </c>
      <c r="V7" s="6" t="s">
        <v>8</v>
      </c>
      <c r="W7" s="14">
        <f t="shared" si="5"/>
        <v>0.14413392481776108</v>
      </c>
      <c r="X7" s="16">
        <f t="shared" si="8"/>
        <v>0.27057622639890028</v>
      </c>
    </row>
    <row r="8" spans="1:24" x14ac:dyDescent="0.3">
      <c r="A8" s="9">
        <v>7</v>
      </c>
      <c r="B8" s="9">
        <v>0.88629579591014296</v>
      </c>
      <c r="C8" s="9">
        <v>0.941432841954296</v>
      </c>
      <c r="D8" s="9">
        <v>0.83438796995583098</v>
      </c>
      <c r="E8" s="9">
        <v>0.57999999999999996</v>
      </c>
      <c r="F8" s="9">
        <v>0</v>
      </c>
      <c r="G8" s="9">
        <v>1.4660158069571101</v>
      </c>
      <c r="H8" s="12" t="s">
        <v>12</v>
      </c>
      <c r="I8" s="8">
        <v>-0.85460578866461112</v>
      </c>
      <c r="N8" s="9">
        <f t="shared" si="0"/>
        <v>-1.154987141481389</v>
      </c>
      <c r="O8" s="9">
        <f t="shared" si="1"/>
        <v>2.4242958782221971</v>
      </c>
      <c r="P8" s="9">
        <f t="shared" si="2"/>
        <v>0.21890127070418897</v>
      </c>
      <c r="Q8" s="9">
        <f t="shared" si="6"/>
        <v>0.23957934058223423</v>
      </c>
      <c r="R8" s="9">
        <f t="shared" si="3"/>
        <v>0.91866132201542827</v>
      </c>
      <c r="S8" s="9">
        <f t="shared" si="3"/>
        <v>0.55450783350354205</v>
      </c>
      <c r="T8" s="9">
        <f t="shared" si="4"/>
        <v>1.469587040278872</v>
      </c>
      <c r="U8" s="14">
        <f t="shared" si="7"/>
        <v>1.2753707438462548E-5</v>
      </c>
      <c r="V8" s="15">
        <f>(V6-V2)/V6</f>
        <v>0.99979102967184585</v>
      </c>
      <c r="W8" s="14">
        <f t="shared" si="5"/>
        <v>0.10063204694970093</v>
      </c>
      <c r="X8" s="16">
        <f t="shared" si="8"/>
        <v>0.24360128347963866</v>
      </c>
    </row>
    <row r="9" spans="1:24" x14ac:dyDescent="0.3">
      <c r="A9" s="9">
        <v>8</v>
      </c>
      <c r="B9" s="9">
        <v>0.82493648944805298</v>
      </c>
      <c r="C9" s="9">
        <v>0.90826014414816902</v>
      </c>
      <c r="D9" s="9">
        <v>0.74925693481917399</v>
      </c>
      <c r="E9" s="9">
        <v>0.54500000000000004</v>
      </c>
      <c r="F9" s="9">
        <v>0</v>
      </c>
      <c r="G9" s="9">
        <v>1.41932737838142</v>
      </c>
      <c r="J9" s="2"/>
      <c r="K9" s="2"/>
      <c r="L9" s="2"/>
      <c r="M9" s="2"/>
      <c r="N9" s="9">
        <f t="shared" si="0"/>
        <v>-1.2190550594099778</v>
      </c>
      <c r="O9" s="9">
        <f t="shared" si="1"/>
        <v>2.1993080646992471</v>
      </c>
      <c r="P9" s="9">
        <f t="shared" si="2"/>
        <v>-8.7613951918682487E-3</v>
      </c>
      <c r="Q9" s="9">
        <f t="shared" si="6"/>
        <v>0.22810278531446357</v>
      </c>
      <c r="R9" s="9">
        <f t="shared" si="3"/>
        <v>0.9001873576519771</v>
      </c>
      <c r="S9" s="9">
        <f t="shared" si="3"/>
        <v>0.49780966521322995</v>
      </c>
      <c r="T9" s="9">
        <f t="shared" si="4"/>
        <v>1.4206950854788976</v>
      </c>
      <c r="U9" s="14">
        <f t="shared" si="7"/>
        <v>1.8706227044905394E-6</v>
      </c>
      <c r="V9" s="6" t="s">
        <v>25</v>
      </c>
      <c r="W9" s="14">
        <f t="shared" si="5"/>
        <v>7.3190331831511468E-2</v>
      </c>
      <c r="X9" s="16">
        <f t="shared" si="8"/>
        <v>9.6363046208358949E-2</v>
      </c>
    </row>
    <row r="10" spans="1:24" x14ac:dyDescent="0.3">
      <c r="A10" s="9">
        <v>9</v>
      </c>
      <c r="B10" s="9">
        <v>0.73549094564436901</v>
      </c>
      <c r="C10" s="9">
        <v>0.85760768749141303</v>
      </c>
      <c r="D10" s="9">
        <v>0.63076268906494104</v>
      </c>
      <c r="E10" s="9">
        <v>0.52</v>
      </c>
      <c r="F10" s="9">
        <v>0</v>
      </c>
      <c r="G10" s="9">
        <v>1.3848241878459899</v>
      </c>
      <c r="H10" s="2"/>
      <c r="J10" s="2"/>
      <c r="K10" s="2"/>
      <c r="L10" s="2"/>
      <c r="M10" s="2"/>
      <c r="N10" s="9">
        <f t="shared" si="0"/>
        <v>-1.3412180876276991</v>
      </c>
      <c r="O10" s="9">
        <f t="shared" si="1"/>
        <v>1.9070998030616766</v>
      </c>
      <c r="P10" s="9">
        <f t="shared" si="2"/>
        <v>-0.32572174745599569</v>
      </c>
      <c r="Q10" s="9">
        <f t="shared" si="6"/>
        <v>0.20730981586179301</v>
      </c>
      <c r="R10" s="9">
        <f t="shared" si="3"/>
        <v>0.87069297508958643</v>
      </c>
      <c r="S10" s="9">
        <f t="shared" si="3"/>
        <v>0.41928195056033707</v>
      </c>
      <c r="T10" s="9">
        <f t="shared" si="4"/>
        <v>1.3895634270927837</v>
      </c>
      <c r="U10" s="14">
        <f t="shared" si="7"/>
        <v>2.246038863835027E-5</v>
      </c>
      <c r="V10" s="17">
        <f>AVERAGE(X2:X391)</f>
        <v>0.49334575919594675</v>
      </c>
      <c r="W10" s="14">
        <f t="shared" si="5"/>
        <v>5.5712014579119097E-2</v>
      </c>
      <c r="X10" s="16">
        <f t="shared" si="8"/>
        <v>0.34222678144908475</v>
      </c>
    </row>
    <row r="11" spans="1:24" x14ac:dyDescent="0.3">
      <c r="A11" s="9">
        <v>10</v>
      </c>
      <c r="B11" s="9">
        <v>0.592782777626775</v>
      </c>
      <c r="C11" s="9">
        <v>0.769923877813109</v>
      </c>
      <c r="D11" s="9">
        <v>0.45639761485123198</v>
      </c>
      <c r="E11" s="9">
        <v>0.505</v>
      </c>
      <c r="F11" s="9">
        <v>0</v>
      </c>
      <c r="G11" s="9">
        <v>1.3721517869532001</v>
      </c>
      <c r="H11" s="2"/>
      <c r="J11" s="2"/>
      <c r="K11" s="2"/>
      <c r="L11" s="2"/>
      <c r="M11" s="2"/>
      <c r="N11" s="9">
        <f t="shared" si="0"/>
        <v>-1.5836962297864858</v>
      </c>
      <c r="O11" s="9">
        <f t="shared" si="1"/>
        <v>1.4856969307674863</v>
      </c>
      <c r="P11" s="9">
        <f t="shared" si="2"/>
        <v>-0.76630875154041367</v>
      </c>
      <c r="Q11" s="9">
        <f t="shared" si="6"/>
        <v>0.17027264254523752</v>
      </c>
      <c r="R11" s="9">
        <f t="shared" si="3"/>
        <v>0.81543152680009456</v>
      </c>
      <c r="S11" s="9">
        <f t="shared" si="3"/>
        <v>0.31727813780519271</v>
      </c>
      <c r="T11" s="9">
        <f t="shared" si="4"/>
        <v>1.3846968788070644</v>
      </c>
      <c r="U11" s="14">
        <f t="shared" si="7"/>
        <v>1.5737932962189293E-4</v>
      </c>
      <c r="V11" s="6" t="s">
        <v>26</v>
      </c>
      <c r="W11" s="14">
        <f t="shared" si="5"/>
        <v>4.9890371235243418E-2</v>
      </c>
      <c r="X11" s="16">
        <f t="shared" si="8"/>
        <v>0.91426414870035055</v>
      </c>
    </row>
    <row r="12" spans="1:24" x14ac:dyDescent="0.3">
      <c r="A12" s="9">
        <v>11</v>
      </c>
      <c r="B12" s="9">
        <v>0.99798365800029598</v>
      </c>
      <c r="C12" s="9">
        <v>0.99899132028276205</v>
      </c>
      <c r="D12" s="9">
        <v>0.99697701212633705</v>
      </c>
      <c r="E12" s="9">
        <v>0.81</v>
      </c>
      <c r="F12" s="9">
        <v>0</v>
      </c>
      <c r="G12" s="9">
        <v>1.77619017533007</v>
      </c>
      <c r="H12" s="2"/>
      <c r="J12" s="2"/>
      <c r="K12" s="2"/>
      <c r="L12" s="2"/>
      <c r="M12" s="2"/>
      <c r="N12" s="9">
        <f t="shared" si="0"/>
        <v>-1.1625991711478971</v>
      </c>
      <c r="O12" s="9">
        <f t="shared" si="1"/>
        <v>3.0221751928656246</v>
      </c>
      <c r="P12" s="9">
        <f t="shared" si="2"/>
        <v>0.5793793551846641</v>
      </c>
      <c r="Q12" s="9">
        <f t="shared" si="6"/>
        <v>0.23819532305746763</v>
      </c>
      <c r="R12" s="9">
        <f t="shared" si="3"/>
        <v>0.95356593363046083</v>
      </c>
      <c r="S12" s="9">
        <f t="shared" si="3"/>
        <v>0.64092458347100689</v>
      </c>
      <c r="T12" s="9">
        <f t="shared" si="4"/>
        <v>1.7809557268779987</v>
      </c>
      <c r="U12" s="14">
        <f t="shared" si="7"/>
        <v>2.2710481555966511E-5</v>
      </c>
      <c r="V12" s="10">
        <f>MAX(X2:X391)</f>
        <v>4.6930525726488526</v>
      </c>
      <c r="W12" s="14">
        <f t="shared" si="5"/>
        <v>0.39363065238649897</v>
      </c>
      <c r="X12" s="16">
        <f t="shared" si="8"/>
        <v>0.26830187522252275</v>
      </c>
    </row>
    <row r="13" spans="1:24" x14ac:dyDescent="0.3">
      <c r="A13" s="9">
        <v>12</v>
      </c>
      <c r="B13" s="9">
        <v>0.99082969587065495</v>
      </c>
      <c r="C13" s="9">
        <v>0.99540428764932198</v>
      </c>
      <c r="D13" s="9">
        <v>0.986276127599925</v>
      </c>
      <c r="E13" s="9">
        <v>0.64</v>
      </c>
      <c r="F13" s="9">
        <v>0</v>
      </c>
      <c r="G13" s="9">
        <v>1.5482873674705899</v>
      </c>
      <c r="H13" s="2"/>
      <c r="J13" s="2"/>
      <c r="K13" s="2"/>
      <c r="L13" s="2"/>
      <c r="M13" s="2"/>
      <c r="N13" s="9">
        <f t="shared" si="0"/>
        <v>-1.060443228190582</v>
      </c>
      <c r="O13" s="9">
        <f t="shared" si="1"/>
        <v>2.8189900276658717</v>
      </c>
      <c r="P13" s="9">
        <f t="shared" si="2"/>
        <v>0.64218522757265262</v>
      </c>
      <c r="Q13" s="9">
        <f t="shared" si="6"/>
        <v>0.25722476232575825</v>
      </c>
      <c r="R13" s="9">
        <f t="shared" si="3"/>
        <v>0.94369342443283155</v>
      </c>
      <c r="S13" s="9">
        <f t="shared" si="3"/>
        <v>0.65524726709727965</v>
      </c>
      <c r="T13" s="9">
        <f t="shared" si="4"/>
        <v>1.552346820334698</v>
      </c>
      <c r="U13" s="14">
        <f t="shared" si="7"/>
        <v>1.6479157555914857E-5</v>
      </c>
      <c r="V13" s="25" t="s">
        <v>34</v>
      </c>
      <c r="W13" s="14">
        <f t="shared" si="5"/>
        <v>0.15959793800522387</v>
      </c>
      <c r="X13" s="16">
        <f t="shared" si="8"/>
        <v>0.26218988473308308</v>
      </c>
    </row>
    <row r="14" spans="1:24" x14ac:dyDescent="0.3">
      <c r="A14" s="9">
        <v>13</v>
      </c>
      <c r="B14" s="9">
        <v>0.976358383123614</v>
      </c>
      <c r="C14" s="9">
        <v>0.98810848752736302</v>
      </c>
      <c r="D14" s="9">
        <v>0.96474800523293602</v>
      </c>
      <c r="E14" s="9">
        <v>0.49</v>
      </c>
      <c r="F14" s="9">
        <v>0</v>
      </c>
      <c r="G14" s="9">
        <v>1.33233469794959</v>
      </c>
      <c r="H14" s="21"/>
      <c r="J14" s="2"/>
      <c r="K14" s="2"/>
      <c r="L14" s="2"/>
      <c r="M14" s="2"/>
      <c r="N14" s="9">
        <f t="shared" si="0"/>
        <v>-0.98025083507232802</v>
      </c>
      <c r="O14" s="9">
        <f t="shared" si="1"/>
        <v>2.6134762126755877</v>
      </c>
      <c r="P14" s="9">
        <f t="shared" si="2"/>
        <v>0.66073534332548489</v>
      </c>
      <c r="Q14" s="9">
        <f t="shared" si="6"/>
        <v>0.27284201533314845</v>
      </c>
      <c r="R14" s="9">
        <f t="shared" si="3"/>
        <v>0.93172386596999024</v>
      </c>
      <c r="S14" s="9">
        <f t="shared" si="3"/>
        <v>0.65942555377913614</v>
      </c>
      <c r="T14" s="9">
        <f t="shared" si="4"/>
        <v>1.3352160699828346</v>
      </c>
      <c r="U14" s="14">
        <f t="shared" si="7"/>
        <v>8.3023047939639303E-6</v>
      </c>
      <c r="V14" s="14">
        <f>SQRT(V2/273)</f>
        <v>7.6085942244026308E-3</v>
      </c>
      <c r="W14" s="14">
        <f t="shared" si="5"/>
        <v>3.3688560301534096E-2</v>
      </c>
      <c r="X14" s="16">
        <f t="shared" si="8"/>
        <v>0.21626487981427517</v>
      </c>
    </row>
    <row r="15" spans="1:24" x14ac:dyDescent="0.3">
      <c r="A15" s="9">
        <v>14</v>
      </c>
      <c r="B15" s="9">
        <v>0.95144310139704402</v>
      </c>
      <c r="C15" s="9">
        <v>0.97541944895365096</v>
      </c>
      <c r="D15" s="9">
        <v>0.92805610567545704</v>
      </c>
      <c r="E15" s="9">
        <v>0.36</v>
      </c>
      <c r="F15" s="9">
        <v>0</v>
      </c>
      <c r="G15" s="9">
        <v>1.1325380227573101</v>
      </c>
      <c r="H15" s="2"/>
      <c r="L15" s="2"/>
      <c r="M15" s="2"/>
      <c r="N15" s="9">
        <f t="shared" si="0"/>
        <v>-0.92644778292106267</v>
      </c>
      <c r="O15" s="9">
        <f t="shared" si="1"/>
        <v>2.3960829463890061</v>
      </c>
      <c r="P15" s="9">
        <f t="shared" si="2"/>
        <v>0.62242017705243768</v>
      </c>
      <c r="Q15" s="9">
        <f t="shared" si="6"/>
        <v>0.28364593771757979</v>
      </c>
      <c r="R15" s="9">
        <f t="shared" si="3"/>
        <v>0.91652812048266108</v>
      </c>
      <c r="S15" s="9">
        <f t="shared" si="3"/>
        <v>0.65076877975165492</v>
      </c>
      <c r="T15" s="9">
        <f t="shared" si="4"/>
        <v>1.1355351666543352</v>
      </c>
      <c r="U15" s="14">
        <f t="shared" si="7"/>
        <v>8.9828715394748071E-6</v>
      </c>
      <c r="W15" s="14">
        <f t="shared" si="5"/>
        <v>2.6413525087302134E-4</v>
      </c>
      <c r="X15" s="16">
        <f t="shared" si="8"/>
        <v>0.26463958267186183</v>
      </c>
    </row>
    <row r="16" spans="1:24" x14ac:dyDescent="0.3">
      <c r="A16" s="9">
        <v>15</v>
      </c>
      <c r="B16" s="9">
        <v>0.91157954485698101</v>
      </c>
      <c r="C16" s="9">
        <v>0.95476674892718205</v>
      </c>
      <c r="D16" s="9">
        <v>0.87034583843162105</v>
      </c>
      <c r="E16" s="9">
        <v>0.25</v>
      </c>
      <c r="F16" s="9">
        <v>0</v>
      </c>
      <c r="G16" s="9">
        <v>0.95877179703309401</v>
      </c>
      <c r="H16" s="2"/>
      <c r="I16" s="19"/>
      <c r="J16" s="2"/>
      <c r="K16" s="2"/>
      <c r="L16" s="2"/>
      <c r="M16" s="2"/>
      <c r="N16" s="9">
        <f t="shared" si="0"/>
        <v>-0.90623195852962679</v>
      </c>
      <c r="O16" s="9">
        <f t="shared" si="1"/>
        <v>2.153688366533518</v>
      </c>
      <c r="P16" s="9">
        <f t="shared" si="2"/>
        <v>0.51111200398366152</v>
      </c>
      <c r="Q16" s="9">
        <f t="shared" si="6"/>
        <v>0.28777151350987512</v>
      </c>
      <c r="R16" s="9">
        <f t="shared" si="3"/>
        <v>0.89601293813856009</v>
      </c>
      <c r="S16" s="9">
        <f t="shared" si="3"/>
        <v>0.62506711796040093</v>
      </c>
      <c r="T16" s="9">
        <f t="shared" si="4"/>
        <v>0.95762019516401609</v>
      </c>
      <c r="U16" s="14">
        <f t="shared" si="7"/>
        <v>1.3261868648637653E-6</v>
      </c>
      <c r="W16" s="14">
        <f t="shared" si="5"/>
        <v>3.6107016683135713E-2</v>
      </c>
      <c r="X16" s="16">
        <f t="shared" si="8"/>
        <v>0.12011219694212313</v>
      </c>
    </row>
    <row r="17" spans="1:24" x14ac:dyDescent="0.3">
      <c r="A17" s="9">
        <v>16</v>
      </c>
      <c r="B17" s="9">
        <v>0.85026083486688397</v>
      </c>
      <c r="C17" s="9">
        <v>0.92209589244659595</v>
      </c>
      <c r="D17" s="9">
        <v>0.78402202333896698</v>
      </c>
      <c r="E17" s="9">
        <v>0.16</v>
      </c>
      <c r="F17" s="9">
        <v>0</v>
      </c>
      <c r="G17" s="9">
        <v>0.80548667970997101</v>
      </c>
      <c r="J17" s="2"/>
      <c r="K17" s="2"/>
      <c r="L17" s="2"/>
      <c r="M17" s="2"/>
      <c r="N17" s="9">
        <f t="shared" si="0"/>
        <v>-0.9318167734614633</v>
      </c>
      <c r="O17" s="9">
        <f t="shared" si="1"/>
        <v>1.8686432522066185</v>
      </c>
      <c r="P17" s="9">
        <f t="shared" si="2"/>
        <v>0.30803712625669211</v>
      </c>
      <c r="Q17" s="9">
        <f t="shared" si="6"/>
        <v>0.28255627596345512</v>
      </c>
      <c r="R17" s="9">
        <f t="shared" si="3"/>
        <v>0.86630121237686764</v>
      </c>
      <c r="S17" s="9">
        <f t="shared" si="3"/>
        <v>0.576406073753709</v>
      </c>
      <c r="T17" s="9">
        <f t="shared" si="4"/>
        <v>0.80388358347293776</v>
      </c>
      <c r="U17" s="14">
        <f t="shared" si="7"/>
        <v>2.5699175451901739E-6</v>
      </c>
      <c r="W17" s="14">
        <f t="shared" si="5"/>
        <v>0.1178573489894202</v>
      </c>
      <c r="X17" s="16">
        <f t="shared" si="8"/>
        <v>0.19902206671008815</v>
      </c>
    </row>
    <row r="18" spans="1:24" x14ac:dyDescent="0.3">
      <c r="A18" s="9">
        <v>17</v>
      </c>
      <c r="B18" s="9">
        <v>0.758040166935394</v>
      </c>
      <c r="C18" s="9">
        <v>0.87065502177119103</v>
      </c>
      <c r="D18" s="9">
        <v>0.65999147804657299</v>
      </c>
      <c r="E18" s="9">
        <v>0.09</v>
      </c>
      <c r="F18" s="9">
        <v>0</v>
      </c>
      <c r="G18" s="9">
        <v>0.6751347835821</v>
      </c>
      <c r="M18" s="2"/>
      <c r="N18" s="9">
        <f t="shared" si="0"/>
        <v>-1.0250469187080433</v>
      </c>
      <c r="O18" s="9">
        <f t="shared" si="1"/>
        <v>1.5178931203066119</v>
      </c>
      <c r="P18" s="9">
        <f t="shared" si="2"/>
        <v>-3.7208167204310083E-3</v>
      </c>
      <c r="Q18" s="9">
        <f t="shared" si="6"/>
        <v>0.26404548847199372</v>
      </c>
      <c r="R18" s="9">
        <f t="shared" si="6"/>
        <v>0.82022802230086778</v>
      </c>
      <c r="S18" s="9">
        <f t="shared" si="6"/>
        <v>0.49906979689307335</v>
      </c>
      <c r="T18" s="9">
        <f t="shared" si="4"/>
        <v>0.67679912805331555</v>
      </c>
      <c r="U18" s="14">
        <f t="shared" si="7"/>
        <v>2.7700425188657715E-6</v>
      </c>
      <c r="W18" s="14">
        <f t="shared" si="5"/>
        <v>0.22434951137470754</v>
      </c>
      <c r="X18" s="16">
        <f t="shared" si="8"/>
        <v>0.24652032626506759</v>
      </c>
    </row>
    <row r="19" spans="1:24" x14ac:dyDescent="0.3">
      <c r="A19" s="9">
        <v>18</v>
      </c>
      <c r="B19" s="9">
        <v>0.62081341767015497</v>
      </c>
      <c r="C19" s="9">
        <v>0.78791713883514103</v>
      </c>
      <c r="D19" s="9">
        <v>0.48914953180113402</v>
      </c>
      <c r="E19" s="9">
        <v>0.04</v>
      </c>
      <c r="F19" s="9">
        <v>0</v>
      </c>
      <c r="G19" s="9">
        <v>0.59270073278746305</v>
      </c>
      <c r="H19" s="2"/>
      <c r="J19" s="2"/>
      <c r="K19" s="2"/>
      <c r="L19" s="2"/>
      <c r="M19" s="2"/>
      <c r="N19" s="9">
        <f t="shared" si="0"/>
        <v>-1.2282352530956462</v>
      </c>
      <c r="O19" s="9">
        <f t="shared" si="1"/>
        <v>1.0713554803316334</v>
      </c>
      <c r="P19" s="9">
        <f t="shared" si="2"/>
        <v>-0.4246440166506118</v>
      </c>
      <c r="Q19" s="9">
        <f t="shared" si="6"/>
        <v>0.22649044695857523</v>
      </c>
      <c r="R19" s="9">
        <f t="shared" si="6"/>
        <v>0.74485460523042579</v>
      </c>
      <c r="S19" s="9">
        <f t="shared" si="6"/>
        <v>0.39540601353095711</v>
      </c>
      <c r="T19" s="9">
        <f t="shared" si="4"/>
        <v>0.58647425852764046</v>
      </c>
      <c r="U19" s="14">
        <f t="shared" si="7"/>
        <v>3.8768981708233266E-5</v>
      </c>
      <c r="W19" s="14">
        <f t="shared" si="5"/>
        <v>0.30923556348946479</v>
      </c>
      <c r="X19" s="16">
        <f t="shared" si="8"/>
        <v>1.0505258244813651</v>
      </c>
    </row>
    <row r="20" spans="1:24" x14ac:dyDescent="0.3">
      <c r="A20" s="9">
        <v>19</v>
      </c>
      <c r="B20" s="9">
        <v>0.41411550520763202</v>
      </c>
      <c r="C20" s="9">
        <v>0.64351806906071596</v>
      </c>
      <c r="D20" s="9">
        <v>0.26649081027931798</v>
      </c>
      <c r="E20" s="9">
        <v>0.01</v>
      </c>
      <c r="F20" s="9">
        <v>0</v>
      </c>
      <c r="G20" s="9">
        <v>0.58056900799713895</v>
      </c>
      <c r="M20" s="2"/>
      <c r="N20" s="9">
        <f t="shared" si="0"/>
        <v>-1.6393263193686531</v>
      </c>
      <c r="O20" s="9">
        <f t="shared" si="1"/>
        <v>0.47747398933010299</v>
      </c>
      <c r="P20" s="9">
        <f t="shared" si="2"/>
        <v>-0.8904968026534501</v>
      </c>
      <c r="Q20" s="9">
        <f t="shared" si="6"/>
        <v>0.16255675126173902</v>
      </c>
      <c r="R20" s="9">
        <f t="shared" si="6"/>
        <v>0.61715121698526199</v>
      </c>
      <c r="S20" s="9">
        <f t="shared" si="6"/>
        <v>0.29100731544657965</v>
      </c>
      <c r="T20" s="9">
        <f t="shared" si="4"/>
        <v>0.55446717814807311</v>
      </c>
      <c r="U20" s="14">
        <f t="shared" si="7"/>
        <v>6.8130552146958442E-4</v>
      </c>
      <c r="W20" s="14">
        <f t="shared" si="5"/>
        <v>0.32287539246818564</v>
      </c>
      <c r="X20" s="16">
        <f t="shared" si="8"/>
        <v>4.4959047915961898</v>
      </c>
    </row>
    <row r="21" spans="1:24" x14ac:dyDescent="0.3">
      <c r="A21" s="9">
        <v>20</v>
      </c>
      <c r="B21" s="9">
        <v>0.60462132125511903</v>
      </c>
      <c r="C21" s="9">
        <v>0.77757399728586496</v>
      </c>
      <c r="D21" s="9">
        <v>0.47013781761260398</v>
      </c>
      <c r="E21" s="9">
        <v>0.13</v>
      </c>
      <c r="F21" s="9">
        <v>0</v>
      </c>
      <c r="G21" s="9">
        <v>0.76587786524651702</v>
      </c>
      <c r="M21" s="2"/>
      <c r="N21" s="9">
        <f t="shared" si="0"/>
        <v>-1.3171036746556664</v>
      </c>
      <c r="O21" s="9">
        <f t="shared" si="1"/>
        <v>1.1214917275043963</v>
      </c>
      <c r="P21" s="9">
        <f t="shared" si="2"/>
        <v>-0.52201314516345876</v>
      </c>
      <c r="Q21" s="9">
        <f t="shared" si="6"/>
        <v>0.21130057013915846</v>
      </c>
      <c r="R21" s="9">
        <f t="shared" si="6"/>
        <v>0.75426531173557732</v>
      </c>
      <c r="S21" s="9">
        <f t="shared" si="6"/>
        <v>0.37238161363899985</v>
      </c>
      <c r="T21" s="9">
        <f t="shared" si="4"/>
        <v>0.75653373973693105</v>
      </c>
      <c r="U21" s="14">
        <f t="shared" si="7"/>
        <v>8.7312681538895178E-5</v>
      </c>
      <c r="W21" s="14">
        <f t="shared" si="5"/>
        <v>0.1466219028917852</v>
      </c>
      <c r="X21" s="16">
        <f t="shared" si="8"/>
        <v>1.2200542584656529</v>
      </c>
    </row>
    <row r="22" spans="1:24" x14ac:dyDescent="0.3">
      <c r="A22" s="9">
        <v>21</v>
      </c>
      <c r="B22" s="9">
        <v>0.53604508929966299</v>
      </c>
      <c r="C22" s="9">
        <v>0.73215100170638503</v>
      </c>
      <c r="D22" s="9">
        <v>0.392465949090537</v>
      </c>
      <c r="E22" s="9">
        <v>3.6249999999999998E-2</v>
      </c>
      <c r="F22" s="9">
        <v>0</v>
      </c>
      <c r="G22" s="9">
        <v>0.597168588564709</v>
      </c>
      <c r="H22" s="2"/>
      <c r="I22" s="22"/>
      <c r="J22" s="22"/>
      <c r="K22" s="22"/>
      <c r="L22" s="2"/>
      <c r="M22" s="2"/>
      <c r="N22" s="9">
        <f t="shared" si="0"/>
        <v>-1.3905309230662874</v>
      </c>
      <c r="O22" s="9">
        <f t="shared" si="1"/>
        <v>0.83350282585787316</v>
      </c>
      <c r="P22" s="9">
        <f t="shared" si="2"/>
        <v>-0.65125660262052842</v>
      </c>
      <c r="Q22" s="9">
        <f t="shared" si="6"/>
        <v>0.19932301153222531</v>
      </c>
      <c r="R22" s="9">
        <f t="shared" si="6"/>
        <v>0.69709507410609617</v>
      </c>
      <c r="S22" s="9">
        <f t="shared" si="6"/>
        <v>0.34270642069388885</v>
      </c>
      <c r="T22" s="9">
        <f t="shared" si="4"/>
        <v>0.58769560498926199</v>
      </c>
      <c r="U22" s="14">
        <f t="shared" si="7"/>
        <v>8.9737417820688893E-5</v>
      </c>
      <c r="W22" s="14">
        <f t="shared" si="5"/>
        <v>0.30428646960131223</v>
      </c>
      <c r="X22" s="16">
        <f t="shared" si="8"/>
        <v>1.5863164534851493</v>
      </c>
    </row>
    <row r="23" spans="1:24" x14ac:dyDescent="0.3">
      <c r="A23" s="9">
        <v>22</v>
      </c>
      <c r="B23" s="9">
        <v>0.482056160699321</v>
      </c>
      <c r="C23" s="9">
        <v>0.69430264344831705</v>
      </c>
      <c r="D23" s="9">
        <v>0.33469286666408499</v>
      </c>
      <c r="E23" s="9">
        <v>1.8888888888889E-2</v>
      </c>
      <c r="F23" s="9">
        <v>0</v>
      </c>
      <c r="G23" s="9">
        <v>0.58610126196485501</v>
      </c>
      <c r="H23" s="2"/>
      <c r="J23" s="2"/>
      <c r="K23" s="2"/>
      <c r="L23" s="2"/>
      <c r="M23" s="2"/>
      <c r="N23" s="9">
        <f t="shared" si="0"/>
        <v>-1.4925077908148232</v>
      </c>
      <c r="O23" s="9">
        <f t="shared" si="1"/>
        <v>0.66895385087060411</v>
      </c>
      <c r="P23" s="9">
        <f t="shared" si="2"/>
        <v>-0.76559720964516575</v>
      </c>
      <c r="Q23" s="9">
        <f t="shared" si="6"/>
        <v>0.18354562006852662</v>
      </c>
      <c r="R23" s="9">
        <f t="shared" si="6"/>
        <v>0.66126886934785811</v>
      </c>
      <c r="S23" s="9">
        <f t="shared" si="6"/>
        <v>0.31743228686635444</v>
      </c>
      <c r="T23" s="9">
        <f t="shared" si="4"/>
        <v>0.56165239408112433</v>
      </c>
      <c r="U23" s="14">
        <f t="shared" si="7"/>
        <v>5.9774714079611775E-4</v>
      </c>
      <c r="W23" s="14">
        <f t="shared" si="5"/>
        <v>0.31661890973820467</v>
      </c>
      <c r="X23" s="16">
        <f t="shared" si="8"/>
        <v>4.1714409216195705</v>
      </c>
    </row>
    <row r="24" spans="1:24" x14ac:dyDescent="0.3">
      <c r="A24" s="9">
        <v>23</v>
      </c>
      <c r="B24" s="9">
        <v>0.44329834371454502</v>
      </c>
      <c r="C24" s="9">
        <v>0.66580653625099295</v>
      </c>
      <c r="D24" s="9">
        <v>0.29515093475438398</v>
      </c>
      <c r="E24" s="9">
        <v>1.2812499999999999E-2</v>
      </c>
      <c r="F24" s="9">
        <v>0</v>
      </c>
      <c r="G24" s="9">
        <v>0.57961803378971899</v>
      </c>
      <c r="H24" s="2"/>
      <c r="J24" s="2"/>
      <c r="K24" s="2"/>
      <c r="L24" s="2"/>
      <c r="M24" s="2"/>
      <c r="N24" s="9">
        <f t="shared" si="0"/>
        <v>-1.574177260564011</v>
      </c>
      <c r="O24" s="9">
        <f t="shared" si="1"/>
        <v>0.55849889887072179</v>
      </c>
      <c r="P24" s="9">
        <f t="shared" si="2"/>
        <v>-0.8400475821202249</v>
      </c>
      <c r="Q24" s="9">
        <f t="shared" si="6"/>
        <v>0.17162170534609617</v>
      </c>
      <c r="R24" s="9">
        <f t="shared" si="6"/>
        <v>0.63610514335336799</v>
      </c>
      <c r="S24" s="9">
        <f t="shared" si="6"/>
        <v>0.30152476274762247</v>
      </c>
      <c r="T24" s="9">
        <f t="shared" si="4"/>
        <v>0.55565098189599171</v>
      </c>
      <c r="U24" s="14">
        <f t="shared" si="7"/>
        <v>5.7441957647661618E-4</v>
      </c>
      <c r="W24" s="14">
        <f t="shared" si="5"/>
        <v>0.32395702433173013</v>
      </c>
      <c r="X24" s="16">
        <f t="shared" si="8"/>
        <v>4.1349734646838714</v>
      </c>
    </row>
    <row r="25" spans="1:24" x14ac:dyDescent="0.3">
      <c r="A25" s="9">
        <v>24</v>
      </c>
      <c r="B25" s="9">
        <v>0.75641498946707797</v>
      </c>
      <c r="C25" s="9">
        <v>0.86972121364669397</v>
      </c>
      <c r="D25" s="9">
        <v>0.65787016265985798</v>
      </c>
      <c r="E25" s="9">
        <v>0.24222222222222201</v>
      </c>
      <c r="F25" s="9">
        <v>0</v>
      </c>
      <c r="G25" s="9">
        <v>0.94688545731729601</v>
      </c>
      <c r="H25" s="2"/>
      <c r="J25" s="2"/>
      <c r="K25" s="2"/>
      <c r="L25" s="2"/>
      <c r="M25" s="2"/>
      <c r="N25" s="9">
        <f t="shared" si="0"/>
        <v>-1.1267176654667186</v>
      </c>
      <c r="O25" s="9">
        <f t="shared" si="1"/>
        <v>1.6742904328061174</v>
      </c>
      <c r="P25" s="9">
        <f t="shared" si="2"/>
        <v>-9.5226228195929519E-2</v>
      </c>
      <c r="Q25" s="9">
        <f t="shared" si="6"/>
        <v>0.24476735267126573</v>
      </c>
      <c r="R25" s="9">
        <f t="shared" si="6"/>
        <v>0.84214700926388164</v>
      </c>
      <c r="S25" s="9">
        <f t="shared" si="6"/>
        <v>0.47621141654280458</v>
      </c>
      <c r="T25" s="9">
        <f t="shared" si="4"/>
        <v>0.94698651227566544</v>
      </c>
      <c r="U25" s="14">
        <f t="shared" si="7"/>
        <v>1.0212104611046963E-8</v>
      </c>
      <c r="W25" s="14">
        <f t="shared" si="5"/>
        <v>4.0765549787121047E-2</v>
      </c>
      <c r="X25" s="16">
        <f t="shared" si="8"/>
        <v>1.0672352985094556E-2</v>
      </c>
    </row>
    <row r="26" spans="1:24" x14ac:dyDescent="0.3">
      <c r="A26" s="9">
        <v>25</v>
      </c>
      <c r="B26" s="9">
        <v>0.84330333318766404</v>
      </c>
      <c r="C26" s="9">
        <v>0.91831548674062102</v>
      </c>
      <c r="D26" s="9">
        <v>0.77441851088621805</v>
      </c>
      <c r="E26" s="9">
        <v>0.32624999999999998</v>
      </c>
      <c r="F26" s="9">
        <v>0</v>
      </c>
      <c r="G26" s="9">
        <v>1.08413098628267</v>
      </c>
      <c r="H26" s="2"/>
      <c r="J26" s="2"/>
      <c r="K26" s="2"/>
      <c r="L26" s="2"/>
      <c r="M26" s="2"/>
      <c r="N26" s="9">
        <f t="shared" si="0"/>
        <v>-1.0499883178016947</v>
      </c>
      <c r="O26" s="9">
        <f t="shared" si="1"/>
        <v>2.0234457172279372</v>
      </c>
      <c r="P26" s="9">
        <f t="shared" si="2"/>
        <v>0.18669513092551282</v>
      </c>
      <c r="Q26" s="9">
        <f t="shared" si="6"/>
        <v>0.25922734412688264</v>
      </c>
      <c r="R26" s="9">
        <f t="shared" si="6"/>
        <v>0.88323683384329388</v>
      </c>
      <c r="S26" s="9">
        <f t="shared" si="6"/>
        <v>0.54653868542336259</v>
      </c>
      <c r="T26" s="9">
        <f t="shared" si="4"/>
        <v>1.0850517572609193</v>
      </c>
      <c r="U26" s="14">
        <f t="shared" si="7"/>
        <v>8.4781919438612602E-7</v>
      </c>
      <c r="W26" s="14">
        <f t="shared" si="5"/>
        <v>4.1808218188105952E-3</v>
      </c>
      <c r="X26" s="16">
        <f t="shared" si="8"/>
        <v>8.4931709350589302E-2</v>
      </c>
    </row>
    <row r="27" spans="1:24" x14ac:dyDescent="0.3">
      <c r="A27" s="9">
        <v>26</v>
      </c>
      <c r="B27" s="9">
        <v>0.82722243711388799</v>
      </c>
      <c r="C27" s="9">
        <v>0.90951769477778099</v>
      </c>
      <c r="D27" s="9">
        <v>0.75237344407228102</v>
      </c>
      <c r="E27" s="9">
        <v>0.17</v>
      </c>
      <c r="F27" s="9">
        <v>0</v>
      </c>
      <c r="G27" s="9">
        <v>0.82193250075090596</v>
      </c>
      <c r="H27" s="2"/>
      <c r="J27" s="2"/>
      <c r="K27" s="2"/>
      <c r="L27" s="2"/>
      <c r="M27" s="2"/>
      <c r="N27" s="9">
        <f t="shared" si="0"/>
        <v>-0.97159898040910386</v>
      </c>
      <c r="O27" s="9">
        <f t="shared" si="1"/>
        <v>1.8091554684644653</v>
      </c>
      <c r="P27" s="9">
        <f t="shared" si="2"/>
        <v>0.21118594080697717</v>
      </c>
      <c r="Q27" s="9">
        <f t="shared" si="6"/>
        <v>0.27456190624774018</v>
      </c>
      <c r="R27" s="9">
        <f t="shared" si="6"/>
        <v>0.85925977401183762</v>
      </c>
      <c r="S27" s="9">
        <f t="shared" si="6"/>
        <v>0.55260113167865565</v>
      </c>
      <c r="T27" s="9">
        <f t="shared" si="4"/>
        <v>0.82135853428058436</v>
      </c>
      <c r="U27" s="14">
        <f t="shared" si="7"/>
        <v>3.2943750905343188E-7</v>
      </c>
      <c r="W27" s="14">
        <f t="shared" si="5"/>
        <v>0.10683599549490358</v>
      </c>
      <c r="X27" s="16">
        <f t="shared" si="8"/>
        <v>6.983133892347955E-2</v>
      </c>
    </row>
    <row r="28" spans="1:24" x14ac:dyDescent="0.3">
      <c r="A28" s="9">
        <v>27</v>
      </c>
      <c r="B28" s="9">
        <v>0.79294453563825096</v>
      </c>
      <c r="C28" s="9">
        <v>0.89047433182447799</v>
      </c>
      <c r="D28" s="9">
        <v>0.70609675554634299</v>
      </c>
      <c r="E28" s="9">
        <v>0.1153125</v>
      </c>
      <c r="F28" s="9">
        <v>0</v>
      </c>
      <c r="G28" s="9">
        <v>0.72003407393728103</v>
      </c>
      <c r="H28" s="2"/>
      <c r="N28" s="9">
        <f t="shared" si="0"/>
        <v>-0.98721810526010811</v>
      </c>
      <c r="O28" s="9">
        <f t="shared" si="1"/>
        <v>1.6481891937778148</v>
      </c>
      <c r="P28" s="9">
        <f t="shared" si="2"/>
        <v>0.11050580038469371</v>
      </c>
      <c r="Q28" s="9">
        <f t="shared" si="6"/>
        <v>0.27146190399846637</v>
      </c>
      <c r="R28" s="9">
        <f t="shared" si="6"/>
        <v>0.83864616457972108</v>
      </c>
      <c r="S28" s="9">
        <f t="shared" si="6"/>
        <v>0.52759837094485784</v>
      </c>
      <c r="T28" s="9">
        <f t="shared" si="4"/>
        <v>0.72347664667804612</v>
      </c>
      <c r="U28" s="14">
        <f t="shared" si="7"/>
        <v>1.1851307075458884E-5</v>
      </c>
      <c r="W28" s="14">
        <f t="shared" si="5"/>
        <v>0.18383186802306872</v>
      </c>
      <c r="X28" s="16">
        <f t="shared" si="8"/>
        <v>0.47811247625275022</v>
      </c>
    </row>
    <row r="29" spans="1:24" x14ac:dyDescent="0.3">
      <c r="A29" s="9">
        <v>28</v>
      </c>
      <c r="B29" s="9">
        <v>0.723369663208</v>
      </c>
      <c r="C29" s="9">
        <v>0.85051141274412101</v>
      </c>
      <c r="D29" s="9">
        <v>0.61523415419127503</v>
      </c>
      <c r="E29" s="9">
        <v>0.1</v>
      </c>
      <c r="F29" s="9">
        <v>0</v>
      </c>
      <c r="G29" s="9">
        <v>0.69742443734283299</v>
      </c>
      <c r="H29" s="2"/>
      <c r="N29" s="9">
        <f t="shared" si="0"/>
        <v>-1.0877051752404416</v>
      </c>
      <c r="O29" s="9">
        <f t="shared" si="1"/>
        <v>1.4270903755722821</v>
      </c>
      <c r="P29" s="9">
        <f t="shared" si="2"/>
        <v>-0.13141723486869361</v>
      </c>
      <c r="Q29" s="9">
        <f t="shared" si="6"/>
        <v>0.25205065512002356</v>
      </c>
      <c r="R29" s="9">
        <f t="shared" si="6"/>
        <v>0.80644755770946297</v>
      </c>
      <c r="S29" s="9">
        <f t="shared" si="6"/>
        <v>0.46719289392969426</v>
      </c>
      <c r="T29" s="9">
        <f t="shared" si="4"/>
        <v>0.6952295850750948</v>
      </c>
      <c r="U29" s="14">
        <f t="shared" si="7"/>
        <v>4.8173764771954748E-6</v>
      </c>
      <c r="W29" s="14">
        <f t="shared" si="5"/>
        <v>0.20373110684836018</v>
      </c>
      <c r="X29" s="16">
        <f t="shared" si="8"/>
        <v>0.31470825371426814</v>
      </c>
    </row>
    <row r="30" spans="1:24" x14ac:dyDescent="0.3">
      <c r="A30" s="9">
        <v>29</v>
      </c>
      <c r="B30" s="9">
        <v>0.90058022766249901</v>
      </c>
      <c r="C30" s="9">
        <v>0.94898905560733404</v>
      </c>
      <c r="D30" s="9">
        <v>0.85464077974807295</v>
      </c>
      <c r="E30" s="9">
        <v>0.4</v>
      </c>
      <c r="F30" s="9">
        <v>0</v>
      </c>
      <c r="G30" s="9">
        <v>1.2023841712799099</v>
      </c>
      <c r="H30" s="2"/>
      <c r="N30" s="9">
        <f t="shared" si="0"/>
        <v>-1.0185101180209528</v>
      </c>
      <c r="O30" s="9">
        <f t="shared" si="1"/>
        <v>2.2781297162471255</v>
      </c>
      <c r="P30" s="9">
        <f t="shared" si="2"/>
        <v>0.38004412912968999</v>
      </c>
      <c r="Q30" s="9">
        <f t="shared" si="6"/>
        <v>0.2653177130612317</v>
      </c>
      <c r="R30" s="9">
        <f t="shared" si="6"/>
        <v>0.90704948191422319</v>
      </c>
      <c r="S30" s="9">
        <f t="shared" si="6"/>
        <v>0.59388374629954555</v>
      </c>
      <c r="T30" s="9">
        <f t="shared" si="4"/>
        <v>1.2010796879765424</v>
      </c>
      <c r="U30" s="14">
        <f t="shared" si="7"/>
        <v>1.7016766887646392E-6</v>
      </c>
      <c r="W30" s="14">
        <f t="shared" si="5"/>
        <v>2.8723072092777138E-3</v>
      </c>
      <c r="X30" s="16">
        <f t="shared" si="8"/>
        <v>0.10849139023336682</v>
      </c>
    </row>
    <row r="31" spans="1:24" x14ac:dyDescent="0.3">
      <c r="A31" s="9">
        <v>30</v>
      </c>
      <c r="B31" s="9">
        <v>0.93966736106488902</v>
      </c>
      <c r="C31" s="9">
        <v>0.96936441087182901</v>
      </c>
      <c r="D31" s="9">
        <v>0.91088009787415303</v>
      </c>
      <c r="E31" s="9">
        <v>0.47222222222222199</v>
      </c>
      <c r="F31" s="9">
        <v>0</v>
      </c>
      <c r="G31" s="9">
        <v>1.30581349505004</v>
      </c>
      <c r="H31" s="2"/>
      <c r="N31" s="9">
        <f t="shared" si="0"/>
        <v>-1.0144103948615935</v>
      </c>
      <c r="O31" s="9">
        <f t="shared" si="1"/>
        <v>2.4775003162153766</v>
      </c>
      <c r="P31" s="9">
        <f t="shared" si="2"/>
        <v>0.50744096777658054</v>
      </c>
      <c r="Q31" s="9">
        <f t="shared" si="6"/>
        <v>0.26611761691052849</v>
      </c>
      <c r="R31" s="9">
        <f t="shared" si="6"/>
        <v>0.92254937894775935</v>
      </c>
      <c r="S31" s="9">
        <f t="shared" si="6"/>
        <v>0.62420638624641855</v>
      </c>
      <c r="T31" s="9">
        <f t="shared" si="4"/>
        <v>1.3105197989142718</v>
      </c>
      <c r="U31" s="14">
        <f t="shared" si="7"/>
        <v>2.2149296062483883E-5</v>
      </c>
      <c r="W31" s="14">
        <f t="shared" si="5"/>
        <v>2.4656296002781866E-2</v>
      </c>
      <c r="X31" s="16">
        <f t="shared" si="8"/>
        <v>0.36041164240315388</v>
      </c>
    </row>
    <row r="32" spans="1:24" x14ac:dyDescent="0.3">
      <c r="A32" s="9">
        <v>31</v>
      </c>
      <c r="B32" s="9">
        <v>0.93311773293603195</v>
      </c>
      <c r="C32" s="9">
        <v>0.96598019282800596</v>
      </c>
      <c r="D32" s="9">
        <v>0.90137324759278004</v>
      </c>
      <c r="E32" s="9">
        <v>0.3203125</v>
      </c>
      <c r="F32" s="9">
        <v>0</v>
      </c>
      <c r="G32" s="9">
        <v>1.07072641408763</v>
      </c>
      <c r="N32" s="9">
        <f t="shared" si="0"/>
        <v>-0.92391633214416213</v>
      </c>
      <c r="O32" s="9">
        <f t="shared" si="1"/>
        <v>2.2959203372458399</v>
      </c>
      <c r="P32" s="9">
        <f t="shared" si="2"/>
        <v>0.56433621839250792</v>
      </c>
      <c r="Q32" s="9">
        <f t="shared" si="6"/>
        <v>0.28416058712252323</v>
      </c>
      <c r="R32" s="9">
        <f t="shared" si="6"/>
        <v>0.90853859900667844</v>
      </c>
      <c r="S32" s="9">
        <f t="shared" si="6"/>
        <v>0.63745526267702168</v>
      </c>
      <c r="T32" s="9">
        <f t="shared" si="4"/>
        <v>1.0727755094632832</v>
      </c>
      <c r="U32" s="14">
        <f t="shared" si="7"/>
        <v>4.1987918585230033E-6</v>
      </c>
      <c r="W32" s="14">
        <f t="shared" si="5"/>
        <v>6.0939642090518274E-3</v>
      </c>
      <c r="X32" s="16">
        <f t="shared" si="8"/>
        <v>0.19137431828457901</v>
      </c>
    </row>
    <row r="33" spans="1:24" x14ac:dyDescent="0.3">
      <c r="A33" s="9">
        <v>32</v>
      </c>
      <c r="B33" s="9">
        <v>0.67803485561868704</v>
      </c>
      <c r="C33" s="9">
        <v>0.82342871920931104</v>
      </c>
      <c r="D33" s="9">
        <v>0.55831337274136505</v>
      </c>
      <c r="E33" s="9">
        <v>6.0816326530612003E-2</v>
      </c>
      <c r="F33" s="9">
        <v>0</v>
      </c>
      <c r="G33" s="9">
        <v>0.62298337454097197</v>
      </c>
      <c r="N33" s="9">
        <f t="shared" si="0"/>
        <v>-1.1390397597892237</v>
      </c>
      <c r="O33" s="9">
        <f t="shared" si="1"/>
        <v>1.2550610962296858</v>
      </c>
      <c r="P33" s="9">
        <f t="shared" si="2"/>
        <v>-0.26036080093243874</v>
      </c>
      <c r="Q33" s="9">
        <f t="shared" si="6"/>
        <v>0.24249670587501052</v>
      </c>
      <c r="R33" s="9">
        <f t="shared" si="6"/>
        <v>0.77817473146294003</v>
      </c>
      <c r="S33" s="9">
        <f t="shared" si="6"/>
        <v>0.43527501740542079</v>
      </c>
      <c r="T33" s="9">
        <f t="shared" si="4"/>
        <v>0.62310016628367138</v>
      </c>
      <c r="U33" s="14">
        <f t="shared" si="7"/>
        <v>1.3640311162764478E-8</v>
      </c>
      <c r="W33" s="14">
        <f t="shared" si="5"/>
        <v>0.27647288194401515</v>
      </c>
      <c r="X33" s="16">
        <f t="shared" si="8"/>
        <v>1.8747168459425055E-2</v>
      </c>
    </row>
    <row r="34" spans="1:24" x14ac:dyDescent="0.3">
      <c r="A34" s="9">
        <v>33</v>
      </c>
      <c r="B34" s="9">
        <v>0.89158042542455795</v>
      </c>
      <c r="C34" s="9">
        <v>0.94423536548074605</v>
      </c>
      <c r="D34" s="9">
        <v>0.84186176885623698</v>
      </c>
      <c r="E34" s="9">
        <v>0.24326530612244901</v>
      </c>
      <c r="F34" s="9">
        <v>0</v>
      </c>
      <c r="G34" s="9">
        <v>0.94697829811168099</v>
      </c>
      <c r="N34" s="9">
        <f t="shared" si="0"/>
        <v>-0.92860894330556931</v>
      </c>
      <c r="O34" s="9">
        <f t="shared" si="1"/>
        <v>2.0841492684075495</v>
      </c>
      <c r="P34" s="9">
        <f t="shared" si="2"/>
        <v>0.43043404098356819</v>
      </c>
      <c r="Q34" s="9">
        <f t="shared" si="6"/>
        <v>0.28320701495187178</v>
      </c>
      <c r="R34" s="9">
        <f t="shared" si="6"/>
        <v>0.88935299901144949</v>
      </c>
      <c r="S34" s="9">
        <f t="shared" si="6"/>
        <v>0.60597730864658783</v>
      </c>
      <c r="T34" s="9">
        <f t="shared" si="4"/>
        <v>0.94691340230026022</v>
      </c>
      <c r="U34" s="14">
        <f t="shared" si="7"/>
        <v>4.211466339960553E-9</v>
      </c>
      <c r="W34" s="14">
        <f t="shared" si="5"/>
        <v>4.072806840178906E-2</v>
      </c>
      <c r="X34" s="16">
        <f t="shared" si="8"/>
        <v>6.8529354421509384E-3</v>
      </c>
    </row>
    <row r="35" spans="1:24" x14ac:dyDescent="0.3">
      <c r="A35" s="9">
        <v>34</v>
      </c>
      <c r="B35" s="9">
        <v>0.96611717808573405</v>
      </c>
      <c r="C35" s="9">
        <v>0.98291259941346498</v>
      </c>
      <c r="D35" s="9">
        <v>0.94960874685024999</v>
      </c>
      <c r="E35" s="9">
        <v>0.54734693877550999</v>
      </c>
      <c r="F35" s="9">
        <v>0</v>
      </c>
      <c r="G35" s="9">
        <v>1.41689333252468</v>
      </c>
      <c r="N35" s="9">
        <f t="shared" si="0"/>
        <v>-1.0301292100740624</v>
      </c>
      <c r="O35" s="9">
        <f t="shared" si="1"/>
        <v>2.6413235564465749</v>
      </c>
      <c r="P35" s="9">
        <f t="shared" si="2"/>
        <v>0.5823511695506649</v>
      </c>
      <c r="Q35" s="9">
        <f t="shared" si="6"/>
        <v>0.26305905486546216</v>
      </c>
      <c r="R35" s="9">
        <f t="shared" si="6"/>
        <v>0.93347420460250552</v>
      </c>
      <c r="S35" s="9">
        <f t="shared" si="6"/>
        <v>0.64160823079133333</v>
      </c>
      <c r="T35" s="9">
        <f t="shared" si="4"/>
        <v>1.4208581989778013</v>
      </c>
      <c r="U35" s="14">
        <f t="shared" si="7"/>
        <v>1.5720165991086912E-5</v>
      </c>
      <c r="W35" s="14">
        <f t="shared" si="5"/>
        <v>7.1879256911876604E-2</v>
      </c>
      <c r="X35" s="16">
        <f t="shared" si="8"/>
        <v>0.27982815375781073</v>
      </c>
    </row>
    <row r="36" spans="1:24" x14ac:dyDescent="0.3">
      <c r="A36" s="9">
        <v>35</v>
      </c>
      <c r="B36" s="9">
        <v>0.98325960470347495</v>
      </c>
      <c r="C36" s="9">
        <v>0.99159447593432803</v>
      </c>
      <c r="D36" s="9">
        <v>0.97499479243333698</v>
      </c>
      <c r="E36" s="9">
        <v>0.6278125</v>
      </c>
      <c r="F36" s="9">
        <v>0</v>
      </c>
      <c r="G36" s="9">
        <v>1.5279659931184599</v>
      </c>
      <c r="N36" s="9">
        <f t="shared" si="0"/>
        <v>-1.0615966882992278</v>
      </c>
      <c r="O36" s="9">
        <f t="shared" si="1"/>
        <v>2.7816294734441085</v>
      </c>
      <c r="P36" s="9">
        <f t="shared" si="2"/>
        <v>0.61449085896291755</v>
      </c>
      <c r="Q36" s="9">
        <f t="shared" si="6"/>
        <v>0.25700444374577697</v>
      </c>
      <c r="R36" s="9">
        <f t="shared" si="6"/>
        <v>0.94167500477396815</v>
      </c>
      <c r="S36" s="9">
        <f t="shared" si="6"/>
        <v>0.64896454584562668</v>
      </c>
      <c r="T36" s="9">
        <f t="shared" si="4"/>
        <v>1.5355145519237476</v>
      </c>
      <c r="U36" s="14">
        <f t="shared" si="7"/>
        <v>5.6980740036886595E-5</v>
      </c>
      <c r="W36" s="14">
        <f t="shared" si="5"/>
        <v>0.14377423575814105</v>
      </c>
      <c r="X36" s="16">
        <f t="shared" si="8"/>
        <v>0.49402662358222293</v>
      </c>
    </row>
    <row r="37" spans="1:24" x14ac:dyDescent="0.3">
      <c r="A37" s="9">
        <v>36</v>
      </c>
      <c r="B37" s="9">
        <v>0.63822315837842403</v>
      </c>
      <c r="C37" s="9">
        <v>0.79888870212215701</v>
      </c>
      <c r="D37" s="9">
        <v>0.50986927066124299</v>
      </c>
      <c r="E37" s="9">
        <v>4.4691358024691E-2</v>
      </c>
      <c r="F37" s="9">
        <v>0</v>
      </c>
      <c r="G37" s="9">
        <v>0.60009277071759604</v>
      </c>
      <c r="N37" s="9">
        <f t="shared" si="0"/>
        <v>-1.1993309469815112</v>
      </c>
      <c r="O37" s="9">
        <f t="shared" si="1"/>
        <v>1.1251600962544013</v>
      </c>
      <c r="P37" s="9">
        <f t="shared" si="2"/>
        <v>-0.37550961394281068</v>
      </c>
      <c r="Q37" s="9">
        <f t="shared" si="6"/>
        <v>0.23159425869583025</v>
      </c>
      <c r="R37" s="9">
        <f t="shared" si="6"/>
        <v>0.7549446064035098</v>
      </c>
      <c r="S37" s="9">
        <f t="shared" si="6"/>
        <v>0.40721037847773395</v>
      </c>
      <c r="T37" s="9">
        <f t="shared" si="4"/>
        <v>0.59430261537605678</v>
      </c>
      <c r="U37" s="14">
        <f t="shared" si="7"/>
        <v>3.3525898879155626E-5</v>
      </c>
      <c r="W37" s="14">
        <f t="shared" si="5"/>
        <v>0.30106893594267814</v>
      </c>
      <c r="X37" s="16">
        <f t="shared" si="8"/>
        <v>0.96487670308298223</v>
      </c>
    </row>
    <row r="38" spans="1:24" x14ac:dyDescent="0.3">
      <c r="A38" s="9">
        <v>37</v>
      </c>
      <c r="B38" s="9">
        <v>0.86512518623928802</v>
      </c>
      <c r="C38" s="9">
        <v>0.93012105999127204</v>
      </c>
      <c r="D38" s="9">
        <v>0.80467115525003297</v>
      </c>
      <c r="E38" s="9">
        <v>0.178765432098765</v>
      </c>
      <c r="F38" s="9">
        <v>0</v>
      </c>
      <c r="G38" s="9">
        <v>0.83431397387471595</v>
      </c>
      <c r="N38" s="9">
        <f t="shared" si="0"/>
        <v>-0.92304743037320991</v>
      </c>
      <c r="O38" s="9">
        <f t="shared" si="1"/>
        <v>1.9340760037555038</v>
      </c>
      <c r="P38" s="9">
        <f t="shared" si="2"/>
        <v>0.35753805378301251</v>
      </c>
      <c r="Q38" s="9">
        <f t="shared" si="6"/>
        <v>0.28433736648335761</v>
      </c>
      <c r="R38" s="9">
        <f t="shared" si="6"/>
        <v>0.87369988587860548</v>
      </c>
      <c r="S38" s="9">
        <f t="shared" si="6"/>
        <v>0.58844433593247381</v>
      </c>
      <c r="T38" s="9">
        <f t="shared" si="4"/>
        <v>0.8367404889191451</v>
      </c>
      <c r="U38" s="14">
        <f t="shared" si="7"/>
        <v>5.8879752608409756E-6</v>
      </c>
      <c r="W38" s="14">
        <f t="shared" si="5"/>
        <v>9.8895335221686323E-2</v>
      </c>
      <c r="X38" s="16">
        <f t="shared" si="8"/>
        <v>0.29083955446172599</v>
      </c>
    </row>
    <row r="39" spans="1:24" x14ac:dyDescent="0.3">
      <c r="A39" s="9">
        <v>38</v>
      </c>
      <c r="B39" s="9">
        <v>0.95986863223136598</v>
      </c>
      <c r="C39" s="9">
        <v>0.97972885648600005</v>
      </c>
      <c r="D39" s="9">
        <v>0.94041099743281698</v>
      </c>
      <c r="E39" s="9">
        <v>0.40222222222222198</v>
      </c>
      <c r="F39" s="9">
        <v>0</v>
      </c>
      <c r="G39" s="9">
        <v>1.2006069157675601</v>
      </c>
      <c r="N39" s="9">
        <f t="shared" si="0"/>
        <v>-0.94339918634513786</v>
      </c>
      <c r="O39" s="9">
        <f t="shared" si="1"/>
        <v>2.4676664071043657</v>
      </c>
      <c r="P39" s="9">
        <f t="shared" si="2"/>
        <v>0.63608244457464658</v>
      </c>
      <c r="Q39" s="9">
        <f t="shared" si="6"/>
        <v>0.28021423442862936</v>
      </c>
      <c r="R39" s="9">
        <f t="shared" si="6"/>
        <v>0.92184380003964694</v>
      </c>
      <c r="S39" s="9">
        <f t="shared" si="6"/>
        <v>0.65386735577691002</v>
      </c>
      <c r="T39" s="9">
        <f t="shared" si="4"/>
        <v>1.2016864073395439</v>
      </c>
      <c r="U39" s="14">
        <f t="shared" si="7"/>
        <v>1.1653020539841358E-6</v>
      </c>
      <c r="W39" s="14">
        <f t="shared" si="5"/>
        <v>2.684965701812609E-3</v>
      </c>
      <c r="X39" s="16">
        <f t="shared" si="8"/>
        <v>8.9912156743967062E-2</v>
      </c>
    </row>
    <row r="40" spans="1:24" x14ac:dyDescent="0.3">
      <c r="A40" s="9">
        <v>39</v>
      </c>
      <c r="B40" s="9">
        <v>0.993341005660478</v>
      </c>
      <c r="C40" s="9">
        <v>0.99666494152271501</v>
      </c>
      <c r="D40" s="9">
        <v>0.99002815531871602</v>
      </c>
      <c r="E40" s="9">
        <v>0.71506172839506199</v>
      </c>
      <c r="F40" s="9">
        <v>0</v>
      </c>
      <c r="G40" s="9">
        <v>1.6497380202441401</v>
      </c>
      <c r="N40" s="9">
        <f t="shared" si="0"/>
        <v>-1.1063096999967112</v>
      </c>
      <c r="O40" s="9">
        <f t="shared" si="1"/>
        <v>2.9065988816101571</v>
      </c>
      <c r="P40" s="9">
        <f t="shared" si="2"/>
        <v>0.611457847555131</v>
      </c>
      <c r="Q40" s="9">
        <f t="shared" si="6"/>
        <v>0.24855951449066391</v>
      </c>
      <c r="R40" s="9">
        <f t="shared" si="6"/>
        <v>0.94817168082170833</v>
      </c>
      <c r="S40" s="9">
        <f t="shared" si="6"/>
        <v>0.64827328504953718</v>
      </c>
      <c r="T40" s="9">
        <f t="shared" si="4"/>
        <v>1.6556235111336131</v>
      </c>
      <c r="U40" s="14">
        <f t="shared" si="7"/>
        <v>3.4639003010069548E-5</v>
      </c>
      <c r="W40" s="14">
        <f t="shared" si="5"/>
        <v>0.25094865739999883</v>
      </c>
      <c r="X40" s="16">
        <f t="shared" si="8"/>
        <v>0.35675306122859507</v>
      </c>
    </row>
    <row r="41" spans="1:24" x14ac:dyDescent="0.3">
      <c r="A41" s="9">
        <v>1</v>
      </c>
      <c r="B41" s="9">
        <v>1</v>
      </c>
      <c r="C41" s="9">
        <v>1</v>
      </c>
      <c r="D41" s="9">
        <v>1</v>
      </c>
      <c r="E41" s="9">
        <v>1</v>
      </c>
      <c r="F41" s="9">
        <v>0.01</v>
      </c>
      <c r="G41" s="9">
        <v>2.02242457428556</v>
      </c>
      <c r="N41" s="9">
        <f t="shared" si="0"/>
        <v>-1.2874278904428855</v>
      </c>
      <c r="O41" s="9">
        <f t="shared" si="1"/>
        <v>3.2275303515751057</v>
      </c>
      <c r="P41" s="9">
        <f t="shared" si="2"/>
        <v>0.46722820818691124</v>
      </c>
      <c r="Q41" s="9">
        <f t="shared" si="6"/>
        <v>0.21628848522619112</v>
      </c>
      <c r="R41" s="9">
        <f t="shared" si="6"/>
        <v>0.9618572500383652</v>
      </c>
      <c r="S41" s="9">
        <f t="shared" si="6"/>
        <v>0.61472750097890172</v>
      </c>
      <c r="T41" s="9">
        <f t="shared" si="4"/>
        <v>2.0145822362171781</v>
      </c>
      <c r="U41" s="14">
        <f t="shared" si="7"/>
        <v>6.1502266378791321E-5</v>
      </c>
      <c r="W41" s="14">
        <f t="shared" si="5"/>
        <v>0.763236913189965</v>
      </c>
      <c r="X41" s="16">
        <f t="shared" si="8"/>
        <v>0.38776912464843033</v>
      </c>
    </row>
    <row r="42" spans="1:24" x14ac:dyDescent="0.3">
      <c r="A42" s="9">
        <v>2</v>
      </c>
      <c r="B42" s="9">
        <v>0.99805795702633604</v>
      </c>
      <c r="C42" s="9">
        <v>0.99902850661346798</v>
      </c>
      <c r="D42" s="9">
        <v>0.99708835032170995</v>
      </c>
      <c r="E42" s="9">
        <v>0.90500000000000003</v>
      </c>
      <c r="F42" s="9">
        <v>0.01</v>
      </c>
      <c r="G42" s="9">
        <v>1.9048684991692899</v>
      </c>
      <c r="N42" s="9">
        <f t="shared" si="0"/>
        <v>-1.2278827858846533</v>
      </c>
      <c r="O42" s="9">
        <f t="shared" si="1"/>
        <v>3.1206350011654633</v>
      </c>
      <c r="P42" s="9">
        <f t="shared" si="2"/>
        <v>0.5117327447862291</v>
      </c>
      <c r="Q42" s="9">
        <f t="shared" si="6"/>
        <v>0.22655220253182792</v>
      </c>
      <c r="R42" s="9">
        <f t="shared" si="6"/>
        <v>0.95773593908688304</v>
      </c>
      <c r="S42" s="9">
        <f t="shared" si="6"/>
        <v>0.62521258236979904</v>
      </c>
      <c r="T42" s="9">
        <f t="shared" si="4"/>
        <v>1.9011291446301346</v>
      </c>
      <c r="U42" s="14">
        <f t="shared" si="7"/>
        <v>1.3982772369501377E-5</v>
      </c>
      <c r="W42" s="14">
        <f t="shared" si="5"/>
        <v>0.57165430209473567</v>
      </c>
      <c r="X42" s="16">
        <f t="shared" si="8"/>
        <v>0.19630512766555963</v>
      </c>
    </row>
    <row r="43" spans="1:24" x14ac:dyDescent="0.3">
      <c r="A43" s="9">
        <v>3</v>
      </c>
      <c r="B43" s="9">
        <v>0.99152490614171696</v>
      </c>
      <c r="C43" s="9">
        <v>0.99575343641973801</v>
      </c>
      <c r="D43" s="9">
        <v>0.98731433258637302</v>
      </c>
      <c r="E43" s="9">
        <v>0.82</v>
      </c>
      <c r="F43" s="9">
        <v>0.01</v>
      </c>
      <c r="G43" s="9">
        <v>1.7966009996558201</v>
      </c>
      <c r="N43" s="9">
        <f t="shared" si="0"/>
        <v>-1.1803151237113447</v>
      </c>
      <c r="O43" s="9">
        <f t="shared" si="1"/>
        <v>3.0094609777667376</v>
      </c>
      <c r="P43" s="9">
        <f t="shared" si="2"/>
        <v>0.5295492940628328</v>
      </c>
      <c r="Q43" s="9">
        <f t="shared" si="6"/>
        <v>0.23499554088500263</v>
      </c>
      <c r="R43" s="9">
        <f t="shared" si="6"/>
        <v>0.95299971673295825</v>
      </c>
      <c r="S43" s="9">
        <f t="shared" si="6"/>
        <v>0.62937798582983007</v>
      </c>
      <c r="T43" s="9">
        <f t="shared" si="4"/>
        <v>1.7945147106084649</v>
      </c>
      <c r="U43" s="14">
        <f t="shared" si="7"/>
        <v>4.3526019891142444E-6</v>
      </c>
      <c r="W43" s="14">
        <f t="shared" si="5"/>
        <v>0.41965875299918176</v>
      </c>
      <c r="X43" s="16">
        <f t="shared" si="8"/>
        <v>0.11612422834869127</v>
      </c>
    </row>
    <row r="44" spans="1:24" x14ac:dyDescent="0.3">
      <c r="A44" s="9">
        <v>4</v>
      </c>
      <c r="B44" s="9">
        <v>0.97911342554320102</v>
      </c>
      <c r="C44" s="9">
        <v>0.98950160461881098</v>
      </c>
      <c r="D44" s="9">
        <v>0.96883430567881701</v>
      </c>
      <c r="E44" s="9">
        <v>0.745</v>
      </c>
      <c r="F44" s="9">
        <v>0.01</v>
      </c>
      <c r="G44" s="9">
        <v>1.6981009223254599</v>
      </c>
      <c r="N44" s="9">
        <f t="shared" si="0"/>
        <v>-1.1464261980655548</v>
      </c>
      <c r="O44" s="9">
        <f t="shared" si="1"/>
        <v>2.8899785455890576</v>
      </c>
      <c r="P44" s="9">
        <f t="shared" si="2"/>
        <v>0.51518626627604125</v>
      </c>
      <c r="Q44" s="9">
        <f t="shared" si="6"/>
        <v>0.24114245784047236</v>
      </c>
      <c r="R44" s="9">
        <f t="shared" si="6"/>
        <v>0.94734881144952698</v>
      </c>
      <c r="S44" s="9">
        <f t="shared" si="6"/>
        <v>0.6260214671880211</v>
      </c>
      <c r="T44" s="9">
        <f t="shared" si="4"/>
        <v>1.6966605107415127</v>
      </c>
      <c r="U44" s="14">
        <f t="shared" si="7"/>
        <v>2.0747855311694377E-6</v>
      </c>
      <c r="W44" s="14">
        <f t="shared" si="5"/>
        <v>0.30174220254523254</v>
      </c>
      <c r="X44" s="16">
        <f t="shared" si="8"/>
        <v>8.4824851397800688E-2</v>
      </c>
    </row>
    <row r="45" spans="1:24" x14ac:dyDescent="0.3">
      <c r="A45" s="9">
        <v>5</v>
      </c>
      <c r="B45" s="9">
        <v>0.95913394700955001</v>
      </c>
      <c r="C45" s="9">
        <v>0.97935384157593897</v>
      </c>
      <c r="D45" s="9">
        <v>0.93933151558969596</v>
      </c>
      <c r="E45" s="9">
        <v>0.68</v>
      </c>
      <c r="F45" s="9">
        <v>0.01</v>
      </c>
      <c r="G45" s="9">
        <v>1.6109124197401601</v>
      </c>
      <c r="N45" s="9">
        <f t="shared" si="0"/>
        <v>-1.1286630127779749</v>
      </c>
      <c r="O45" s="9">
        <f t="shared" si="1"/>
        <v>2.7570728440651688</v>
      </c>
      <c r="P45" s="9">
        <f t="shared" si="2"/>
        <v>0.46196627783213084</v>
      </c>
      <c r="Q45" s="9">
        <f t="shared" si="6"/>
        <v>0.24440792155009017</v>
      </c>
      <c r="R45" s="9">
        <f t="shared" si="6"/>
        <v>0.94031155684107592</v>
      </c>
      <c r="S45" s="9">
        <f t="shared" si="6"/>
        <v>0.61348052811404385</v>
      </c>
      <c r="T45" s="9">
        <f t="shared" si="4"/>
        <v>1.6091685679525884</v>
      </c>
      <c r="U45" s="14">
        <f t="shared" si="7"/>
        <v>3.0410190570167956E-6</v>
      </c>
      <c r="W45" s="14">
        <f t="shared" si="5"/>
        <v>0.21355688951404878</v>
      </c>
      <c r="X45" s="16">
        <f t="shared" si="8"/>
        <v>0.1082524267739472</v>
      </c>
    </row>
    <row r="46" spans="1:24" x14ac:dyDescent="0.3">
      <c r="A46" s="9">
        <v>6</v>
      </c>
      <c r="B46" s="9">
        <v>0.92929286340991601</v>
      </c>
      <c r="C46" s="9">
        <v>0.96399837313655001</v>
      </c>
      <c r="D46" s="9">
        <v>0.89583680849456504</v>
      </c>
      <c r="E46" s="9">
        <v>0.625</v>
      </c>
      <c r="F46" s="9">
        <v>0.01</v>
      </c>
      <c r="G46" s="9">
        <v>1.53544844388975</v>
      </c>
      <c r="N46" s="9">
        <f t="shared" si="0"/>
        <v>-1.1307152868580232</v>
      </c>
      <c r="O46" s="9">
        <f t="shared" si="1"/>
        <v>2.604087063077233</v>
      </c>
      <c r="P46" s="9">
        <f t="shared" si="2"/>
        <v>0.3617365236652591</v>
      </c>
      <c r="Q46" s="9">
        <f t="shared" si="6"/>
        <v>0.24402912140694627</v>
      </c>
      <c r="R46" s="9">
        <f t="shared" si="6"/>
        <v>0.93112415333807963</v>
      </c>
      <c r="S46" s="9">
        <f t="shared" si="6"/>
        <v>0.58946073237748275</v>
      </c>
      <c r="T46" s="9">
        <f t="shared" si="4"/>
        <v>1.5332643024141088</v>
      </c>
      <c r="U46" s="14">
        <f t="shared" si="7"/>
        <v>4.7704739856159694E-6</v>
      </c>
      <c r="W46" s="14">
        <f t="shared" si="5"/>
        <v>0.14950455032480425</v>
      </c>
      <c r="X46" s="16">
        <f t="shared" si="8"/>
        <v>0.14224778984490566</v>
      </c>
    </row>
    <row r="47" spans="1:24" x14ac:dyDescent="0.3">
      <c r="A47" s="9">
        <v>7</v>
      </c>
      <c r="B47" s="9">
        <v>0.88629579591014296</v>
      </c>
      <c r="C47" s="9">
        <v>0.941432841954296</v>
      </c>
      <c r="D47" s="9">
        <v>0.83438796995583098</v>
      </c>
      <c r="E47" s="9">
        <v>0.57999999999999996</v>
      </c>
      <c r="F47" s="9">
        <v>0.01</v>
      </c>
      <c r="G47" s="9">
        <v>1.47323346931191</v>
      </c>
      <c r="N47" s="9">
        <f t="shared" si="0"/>
        <v>-1.158518842142793</v>
      </c>
      <c r="O47" s="9">
        <f t="shared" si="1"/>
        <v>2.4219234974861426</v>
      </c>
      <c r="P47" s="9">
        <f t="shared" si="2"/>
        <v>0.20437095475556288</v>
      </c>
      <c r="Q47" s="9">
        <f t="shared" si="6"/>
        <v>0.23893652342594729</v>
      </c>
      <c r="R47" s="9">
        <f t="shared" si="6"/>
        <v>0.91848387516620222</v>
      </c>
      <c r="S47" s="9">
        <f t="shared" si="6"/>
        <v>0.55091564372441637</v>
      </c>
      <c r="T47" s="9">
        <f t="shared" si="4"/>
        <v>1.4699287894207678</v>
      </c>
      <c r="U47" s="14">
        <f t="shared" si="7"/>
        <v>1.0920909182919942E-5</v>
      </c>
      <c r="W47" s="14">
        <f t="shared" si="5"/>
        <v>0.10526339536031822</v>
      </c>
      <c r="X47" s="16">
        <f t="shared" si="8"/>
        <v>0.22431474440271407</v>
      </c>
    </row>
    <row r="48" spans="1:24" x14ac:dyDescent="0.3">
      <c r="A48" s="9">
        <v>8</v>
      </c>
      <c r="B48" s="9">
        <v>0.82493648944805298</v>
      </c>
      <c r="C48" s="9">
        <v>0.90826014414816902</v>
      </c>
      <c r="D48" s="9">
        <v>0.74925693481917399</v>
      </c>
      <c r="E48" s="9">
        <v>0.54500000000000004</v>
      </c>
      <c r="F48" s="9">
        <v>0.01</v>
      </c>
      <c r="G48" s="9">
        <v>1.4248664951959999</v>
      </c>
      <c r="N48" s="9">
        <f t="shared" si="0"/>
        <v>-1.2225867600713818</v>
      </c>
      <c r="O48" s="9">
        <f t="shared" si="1"/>
        <v>2.1969356839631935</v>
      </c>
      <c r="P48" s="9">
        <f t="shared" si="2"/>
        <v>-2.3291711140494276E-2</v>
      </c>
      <c r="Q48" s="9">
        <f t="shared" si="6"/>
        <v>0.22748154924596992</v>
      </c>
      <c r="R48" s="9">
        <f t="shared" si="6"/>
        <v>0.89997399659172361</v>
      </c>
      <c r="S48" s="9">
        <f t="shared" si="6"/>
        <v>0.49417733544730402</v>
      </c>
      <c r="T48" s="9">
        <f t="shared" si="4"/>
        <v>1.4205757835500843</v>
      </c>
      <c r="U48" s="14">
        <f t="shared" si="7"/>
        <v>1.8410206428396246E-5</v>
      </c>
      <c r="W48" s="14">
        <f t="shared" si="5"/>
        <v>7.621808703729363E-2</v>
      </c>
      <c r="X48" s="16">
        <f t="shared" si="8"/>
        <v>0.30113078385813552</v>
      </c>
    </row>
    <row r="49" spans="1:24" x14ac:dyDescent="0.3">
      <c r="A49" s="9">
        <v>9</v>
      </c>
      <c r="B49" s="9">
        <v>0.73549094564436901</v>
      </c>
      <c r="C49" s="9">
        <v>0.85760768749141303</v>
      </c>
      <c r="D49" s="9">
        <v>0.63076268906494104</v>
      </c>
      <c r="E49" s="9">
        <v>0.52</v>
      </c>
      <c r="F49" s="9">
        <v>0.01</v>
      </c>
      <c r="G49" s="9">
        <v>1.39179135120803</v>
      </c>
      <c r="N49" s="9">
        <f t="shared" si="0"/>
        <v>-1.3447497882891031</v>
      </c>
      <c r="O49" s="9">
        <f t="shared" si="1"/>
        <v>1.9047274223256225</v>
      </c>
      <c r="P49" s="9">
        <f t="shared" si="2"/>
        <v>-0.34025206340462172</v>
      </c>
      <c r="Q49" s="9">
        <f t="shared" si="6"/>
        <v>0.20673004272856055</v>
      </c>
      <c r="R49" s="9">
        <f t="shared" si="6"/>
        <v>0.87042564155377045</v>
      </c>
      <c r="S49" s="9">
        <f t="shared" si="6"/>
        <v>0.41574824914964148</v>
      </c>
      <c r="T49" s="9">
        <f t="shared" si="4"/>
        <v>1.3889147079189241</v>
      </c>
      <c r="U49" s="14">
        <f t="shared" si="7"/>
        <v>8.2750766127577938E-6</v>
      </c>
      <c r="W49" s="14">
        <f t="shared" si="5"/>
        <v>5.9049529797796374E-2</v>
      </c>
      <c r="X49" s="16">
        <f t="shared" si="8"/>
        <v>0.20668638920690441</v>
      </c>
    </row>
    <row r="50" spans="1:24" x14ac:dyDescent="0.3">
      <c r="A50" s="9">
        <v>10</v>
      </c>
      <c r="B50" s="9">
        <v>0.592782777626775</v>
      </c>
      <c r="C50" s="9">
        <v>0.769923877813109</v>
      </c>
      <c r="D50" s="9">
        <v>0.45639761485123198</v>
      </c>
      <c r="E50" s="9">
        <v>0.505</v>
      </c>
      <c r="F50" s="9">
        <v>0.01</v>
      </c>
      <c r="G50" s="9">
        <v>1.3831218003119801</v>
      </c>
      <c r="N50" s="9">
        <f t="shared" si="0"/>
        <v>-1.5872279304478898</v>
      </c>
      <c r="O50" s="9">
        <f t="shared" si="1"/>
        <v>1.4833245500314323</v>
      </c>
      <c r="P50" s="9">
        <f t="shared" si="2"/>
        <v>-0.78083906748903975</v>
      </c>
      <c r="Q50" s="9">
        <f t="shared" si="6"/>
        <v>0.16977426521339953</v>
      </c>
      <c r="R50" s="9">
        <f t="shared" si="6"/>
        <v>0.81507420927470919</v>
      </c>
      <c r="S50" s="9">
        <f t="shared" si="6"/>
        <v>0.31413907598764895</v>
      </c>
      <c r="T50" s="9">
        <f t="shared" si="4"/>
        <v>1.3834111339047843</v>
      </c>
      <c r="U50" s="14">
        <f t="shared" si="7"/>
        <v>8.3713927925017197E-8</v>
      </c>
      <c r="W50" s="14">
        <f t="shared" si="5"/>
        <v>5.4911270273414747E-2</v>
      </c>
      <c r="X50" s="16">
        <f t="shared" si="8"/>
        <v>2.0918880227250424E-2</v>
      </c>
    </row>
    <row r="51" spans="1:24" x14ac:dyDescent="0.3">
      <c r="A51" s="9">
        <v>11</v>
      </c>
      <c r="B51" s="9">
        <v>0.99798365800029598</v>
      </c>
      <c r="C51" s="9">
        <v>0.99899132028276205</v>
      </c>
      <c r="D51" s="9">
        <v>0.99697701212633705</v>
      </c>
      <c r="E51" s="9">
        <v>0.81</v>
      </c>
      <c r="F51" s="9">
        <v>0.01</v>
      </c>
      <c r="G51" s="9">
        <v>1.7833502897406299</v>
      </c>
      <c r="N51" s="9">
        <f t="shared" si="0"/>
        <v>-1.1661308718093011</v>
      </c>
      <c r="O51" s="9">
        <f t="shared" si="1"/>
        <v>3.019802812129571</v>
      </c>
      <c r="P51" s="9">
        <f t="shared" si="2"/>
        <v>0.56484903923603802</v>
      </c>
      <c r="Q51" s="9">
        <f t="shared" si="6"/>
        <v>0.23755505928349491</v>
      </c>
      <c r="R51" s="9">
        <f t="shared" si="6"/>
        <v>0.95346077638629634</v>
      </c>
      <c r="S51" s="9">
        <f t="shared" si="6"/>
        <v>0.63757377032072671</v>
      </c>
      <c r="T51" s="9">
        <f t="shared" si="4"/>
        <v>1.7819859357996224</v>
      </c>
      <c r="U51" s="14">
        <f t="shared" si="7"/>
        <v>1.8614616763427908E-6</v>
      </c>
      <c r="W51" s="14">
        <f t="shared" si="5"/>
        <v>0.40266642995911789</v>
      </c>
      <c r="X51" s="16">
        <f t="shared" si="8"/>
        <v>7.6505101036878506E-2</v>
      </c>
    </row>
    <row r="52" spans="1:24" x14ac:dyDescent="0.3">
      <c r="A52" s="9">
        <v>12</v>
      </c>
      <c r="B52" s="9">
        <v>0.99082969587065495</v>
      </c>
      <c r="C52" s="9">
        <v>0.99540428764932198</v>
      </c>
      <c r="D52" s="9">
        <v>0.986276127599925</v>
      </c>
      <c r="E52" s="9">
        <v>0.64</v>
      </c>
      <c r="F52" s="9">
        <v>0.01</v>
      </c>
      <c r="G52" s="9">
        <v>1.5548662422735899</v>
      </c>
      <c r="N52" s="9">
        <f t="shared" si="0"/>
        <v>-1.063974928851986</v>
      </c>
      <c r="O52" s="9">
        <f t="shared" si="1"/>
        <v>2.8166176469298181</v>
      </c>
      <c r="P52" s="9">
        <f t="shared" si="2"/>
        <v>0.62765491162402653</v>
      </c>
      <c r="Q52" s="9">
        <f t="shared" si="6"/>
        <v>0.25655057370412032</v>
      </c>
      <c r="R52" s="9">
        <f t="shared" si="6"/>
        <v>0.94356723249409558</v>
      </c>
      <c r="S52" s="9">
        <f t="shared" si="6"/>
        <v>0.65195753054771588</v>
      </c>
      <c r="T52" s="9">
        <f t="shared" si="4"/>
        <v>1.553757843182856</v>
      </c>
      <c r="U52" s="14">
        <f t="shared" si="7"/>
        <v>1.2285485443397418E-6</v>
      </c>
      <c r="W52" s="14">
        <f t="shared" si="5"/>
        <v>0.16489770249295435</v>
      </c>
      <c r="X52" s="16">
        <f t="shared" si="8"/>
        <v>7.1285816142818523E-2</v>
      </c>
    </row>
    <row r="53" spans="1:24" x14ac:dyDescent="0.3">
      <c r="A53" s="9">
        <v>13</v>
      </c>
      <c r="B53" s="9">
        <v>0.976358383123614</v>
      </c>
      <c r="C53" s="9">
        <v>0.98810848752736302</v>
      </c>
      <c r="D53" s="9">
        <v>0.96474800523293602</v>
      </c>
      <c r="E53" s="9">
        <v>0.49</v>
      </c>
      <c r="F53" s="9">
        <v>0.01</v>
      </c>
      <c r="G53" s="9">
        <v>1.3397689305356399</v>
      </c>
      <c r="N53" s="9">
        <f t="shared" si="0"/>
        <v>-0.98378253573373176</v>
      </c>
      <c r="O53" s="9">
        <f t="shared" si="1"/>
        <v>2.6111038319395341</v>
      </c>
      <c r="P53" s="9">
        <f t="shared" si="2"/>
        <v>0.64620502737685881</v>
      </c>
      <c r="Q53" s="9">
        <f t="shared" si="6"/>
        <v>0.27214189097597885</v>
      </c>
      <c r="R53" s="9">
        <f t="shared" si="6"/>
        <v>0.93157279348762712</v>
      </c>
      <c r="S53" s="9">
        <f t="shared" si="6"/>
        <v>0.6561547654252744</v>
      </c>
      <c r="T53" s="9">
        <f t="shared" si="4"/>
        <v>1.3368337162673067</v>
      </c>
      <c r="U53" s="14">
        <f t="shared" si="7"/>
        <v>8.6154828010268506E-6</v>
      </c>
      <c r="W53" s="14">
        <f t="shared" si="5"/>
        <v>3.6472852182633991E-2</v>
      </c>
      <c r="X53" s="16">
        <f t="shared" si="8"/>
        <v>0.21908361967758941</v>
      </c>
    </row>
    <row r="54" spans="1:24" x14ac:dyDescent="0.3">
      <c r="A54" s="9">
        <v>14</v>
      </c>
      <c r="B54" s="9">
        <v>0.95144310139704402</v>
      </c>
      <c r="C54" s="9">
        <v>0.97541944895365096</v>
      </c>
      <c r="D54" s="9">
        <v>0.92805610567545704</v>
      </c>
      <c r="E54" s="9">
        <v>0.36</v>
      </c>
      <c r="F54" s="9">
        <v>0.01</v>
      </c>
      <c r="G54" s="9">
        <v>1.13977629583583</v>
      </c>
      <c r="N54" s="9">
        <f t="shared" si="0"/>
        <v>-0.9299794835824664</v>
      </c>
      <c r="O54" s="9">
        <f t="shared" si="1"/>
        <v>2.3937105656529525</v>
      </c>
      <c r="P54" s="9">
        <f t="shared" si="2"/>
        <v>0.6078898611038116</v>
      </c>
      <c r="Q54" s="9">
        <f t="shared" si="6"/>
        <v>0.28292887686189527</v>
      </c>
      <c r="R54" s="9">
        <f t="shared" si="6"/>
        <v>0.91634644365500662</v>
      </c>
      <c r="S54" s="9">
        <f t="shared" si="6"/>
        <v>0.64745930073696767</v>
      </c>
      <c r="T54" s="9">
        <f t="shared" si="4"/>
        <v>1.1371402813144882</v>
      </c>
      <c r="U54" s="14">
        <f t="shared" si="7"/>
        <v>6.948572556724667E-6</v>
      </c>
      <c r="W54" s="14">
        <f t="shared" si="5"/>
        <v>8.1251569631374607E-5</v>
      </c>
      <c r="X54" s="16">
        <f t="shared" si="8"/>
        <v>0.231274727415585</v>
      </c>
    </row>
    <row r="55" spans="1:24" x14ac:dyDescent="0.3">
      <c r="A55" s="9">
        <v>15</v>
      </c>
      <c r="B55" s="9">
        <v>0.91157954485698101</v>
      </c>
      <c r="C55" s="9">
        <v>0.95476674892718205</v>
      </c>
      <c r="D55" s="9">
        <v>0.87034583843162105</v>
      </c>
      <c r="E55" s="9">
        <v>0.25</v>
      </c>
      <c r="F55" s="9">
        <v>0.01</v>
      </c>
      <c r="G55" s="9">
        <v>0.96022795565068697</v>
      </c>
      <c r="N55" s="9">
        <f t="shared" si="0"/>
        <v>-0.90976365919103053</v>
      </c>
      <c r="O55" s="9">
        <f t="shared" si="1"/>
        <v>2.1513159857974635</v>
      </c>
      <c r="P55" s="9">
        <f t="shared" si="2"/>
        <v>0.49658168803503544</v>
      </c>
      <c r="Q55" s="9">
        <f t="shared" si="6"/>
        <v>0.28704820232191569</v>
      </c>
      <c r="R55" s="9">
        <f t="shared" si="6"/>
        <v>0.89579168676179544</v>
      </c>
      <c r="S55" s="9">
        <f t="shared" si="6"/>
        <v>0.62165567957122525</v>
      </c>
      <c r="T55" s="9">
        <f t="shared" si="4"/>
        <v>0.9589515370807139</v>
      </c>
      <c r="U55" s="14">
        <f t="shared" si="7"/>
        <v>1.6292443657720973E-6</v>
      </c>
      <c r="W55" s="14">
        <f t="shared" si="5"/>
        <v>3.5555743033174297E-2</v>
      </c>
      <c r="X55" s="16">
        <f t="shared" si="8"/>
        <v>0.13292870327943329</v>
      </c>
    </row>
    <row r="56" spans="1:24" x14ac:dyDescent="0.3">
      <c r="A56" s="9">
        <v>16</v>
      </c>
      <c r="B56" s="9">
        <v>0.85026083486688397</v>
      </c>
      <c r="C56" s="9">
        <v>0.92209589244659595</v>
      </c>
      <c r="D56" s="9">
        <v>0.78402202333896698</v>
      </c>
      <c r="E56" s="9">
        <v>0.16</v>
      </c>
      <c r="F56" s="9">
        <v>0.01</v>
      </c>
      <c r="G56" s="9">
        <v>0.80452206814362304</v>
      </c>
      <c r="N56" s="9">
        <f t="shared" si="0"/>
        <v>-0.93534847412286704</v>
      </c>
      <c r="O56" s="9">
        <f t="shared" si="1"/>
        <v>1.8662708714705645</v>
      </c>
      <c r="P56" s="9">
        <f t="shared" si="2"/>
        <v>0.29350681030806602</v>
      </c>
      <c r="Q56" s="9">
        <f t="shared" si="6"/>
        <v>0.2818408859920673</v>
      </c>
      <c r="R56" s="9">
        <f t="shared" si="6"/>
        <v>0.86602619626052701</v>
      </c>
      <c r="S56" s="9">
        <f t="shared" si="6"/>
        <v>0.57285444057428769</v>
      </c>
      <c r="T56" s="9">
        <f t="shared" si="4"/>
        <v>0.80466006434990589</v>
      </c>
      <c r="U56" s="14">
        <f t="shared" si="7"/>
        <v>1.9042952948459788E-8</v>
      </c>
      <c r="W56" s="14">
        <f t="shared" si="5"/>
        <v>0.11852058867563284</v>
      </c>
      <c r="X56" s="16">
        <f t="shared" si="8"/>
        <v>1.7152569425630499E-2</v>
      </c>
    </row>
    <row r="57" spans="1:24" x14ac:dyDescent="0.3">
      <c r="A57" s="9">
        <v>17</v>
      </c>
      <c r="B57" s="9">
        <v>0.758040166935394</v>
      </c>
      <c r="C57" s="9">
        <v>0.87065502177119103</v>
      </c>
      <c r="D57" s="9">
        <v>0.65999147804657299</v>
      </c>
      <c r="E57" s="9">
        <v>0.09</v>
      </c>
      <c r="F57" s="9">
        <v>0.01</v>
      </c>
      <c r="G57" s="9">
        <v>0.67786658890899498</v>
      </c>
      <c r="N57" s="9">
        <f t="shared" si="0"/>
        <v>-1.0285786193694473</v>
      </c>
      <c r="O57" s="9">
        <f t="shared" si="1"/>
        <v>1.5155207395705579</v>
      </c>
      <c r="P57" s="9">
        <f t="shared" si="2"/>
        <v>-1.8251132669057035E-2</v>
      </c>
      <c r="Q57" s="9">
        <f t="shared" si="6"/>
        <v>0.26335976122986088</v>
      </c>
      <c r="R57" s="9">
        <f t="shared" si="6"/>
        <v>0.81987793944450438</v>
      </c>
      <c r="S57" s="9">
        <f t="shared" si="6"/>
        <v>0.49543734348523449</v>
      </c>
      <c r="T57" s="9">
        <f t="shared" si="4"/>
        <v>0.67678655648052299</v>
      </c>
      <c r="U57" s="14">
        <f t="shared" si="7"/>
        <v>1.1664700465511014E-6</v>
      </c>
      <c r="W57" s="14">
        <f t="shared" si="5"/>
        <v>0.22176910502190497</v>
      </c>
      <c r="X57" s="16">
        <f t="shared" si="8"/>
        <v>0.15932816960491694</v>
      </c>
    </row>
    <row r="58" spans="1:24" x14ac:dyDescent="0.3">
      <c r="A58" s="9">
        <v>18</v>
      </c>
      <c r="B58" s="9">
        <v>0.62081341767015497</v>
      </c>
      <c r="C58" s="9">
        <v>0.78791713883514103</v>
      </c>
      <c r="D58" s="9">
        <v>0.48914953180113402</v>
      </c>
      <c r="E58" s="9">
        <v>0.04</v>
      </c>
      <c r="F58" s="9">
        <v>0.01</v>
      </c>
      <c r="G58" s="9">
        <v>0.58771634737235101</v>
      </c>
      <c r="N58" s="9">
        <f t="shared" si="0"/>
        <v>-1.2317669537570501</v>
      </c>
      <c r="O58" s="9">
        <f t="shared" si="1"/>
        <v>1.0689830995955794</v>
      </c>
      <c r="P58" s="9">
        <f t="shared" si="2"/>
        <v>-0.43917433259923783</v>
      </c>
      <c r="Q58" s="9">
        <f t="shared" si="6"/>
        <v>0.22587231713168379</v>
      </c>
      <c r="R58" s="9">
        <f t="shared" si="6"/>
        <v>0.74440348139269064</v>
      </c>
      <c r="S58" s="9">
        <f t="shared" si="6"/>
        <v>0.39193772684328004</v>
      </c>
      <c r="T58" s="9">
        <f t="shared" si="4"/>
        <v>0.58554678696559981</v>
      </c>
      <c r="U58" s="14">
        <f t="shared" si="7"/>
        <v>4.7069923585424454E-6</v>
      </c>
      <c r="W58" s="14">
        <f t="shared" si="5"/>
        <v>0.31480393665618206</v>
      </c>
      <c r="X58" s="16">
        <f t="shared" si="8"/>
        <v>0.36915093759960804</v>
      </c>
    </row>
    <row r="59" spans="1:24" x14ac:dyDescent="0.3">
      <c r="A59" s="9">
        <v>19</v>
      </c>
      <c r="B59" s="9">
        <v>0.41411550520763202</v>
      </c>
      <c r="C59" s="9">
        <v>0.64351806906071596</v>
      </c>
      <c r="D59" s="9">
        <v>0.26649081027931798</v>
      </c>
      <c r="E59" s="9">
        <v>0.01</v>
      </c>
      <c r="F59" s="9">
        <v>0.01</v>
      </c>
      <c r="G59" s="9">
        <v>0.55738109699755201</v>
      </c>
      <c r="N59" s="9">
        <f t="shared" si="0"/>
        <v>-1.6428580200300571</v>
      </c>
      <c r="O59" s="9">
        <f t="shared" si="1"/>
        <v>0.47510160859404893</v>
      </c>
      <c r="P59" s="9">
        <f t="shared" si="2"/>
        <v>-0.90502711860207619</v>
      </c>
      <c r="Q59" s="9">
        <f t="shared" si="6"/>
        <v>0.16207654637960803</v>
      </c>
      <c r="R59" s="9">
        <f t="shared" si="6"/>
        <v>0.61659052575312823</v>
      </c>
      <c r="S59" s="9">
        <f t="shared" si="6"/>
        <v>0.28801851951023755</v>
      </c>
      <c r="T59" s="9">
        <f t="shared" si="4"/>
        <v>0.55233628514539401</v>
      </c>
      <c r="U59" s="14">
        <f t="shared" si="7"/>
        <v>2.5450126623673761E-5</v>
      </c>
      <c r="W59" s="14">
        <f t="shared" si="5"/>
        <v>0.3497647993743645</v>
      </c>
      <c r="X59" s="16">
        <f t="shared" si="8"/>
        <v>0.90509202399093014</v>
      </c>
    </row>
    <row r="60" spans="1:24" x14ac:dyDescent="0.3">
      <c r="A60" s="9">
        <v>20</v>
      </c>
      <c r="B60" s="9">
        <v>0.60462132125511903</v>
      </c>
      <c r="C60" s="9">
        <v>0.77757399728586496</v>
      </c>
      <c r="D60" s="9">
        <v>0.47013781761260398</v>
      </c>
      <c r="E60" s="9">
        <v>0.13</v>
      </c>
      <c r="F60" s="9">
        <v>0.01</v>
      </c>
      <c r="G60" s="9">
        <v>0.76257257791640698</v>
      </c>
      <c r="N60" s="9">
        <f t="shared" si="0"/>
        <v>-1.3206353753170703</v>
      </c>
      <c r="O60" s="9">
        <f t="shared" si="1"/>
        <v>1.1191193467683422</v>
      </c>
      <c r="P60" s="9">
        <f t="shared" si="2"/>
        <v>-0.53654346111208473</v>
      </c>
      <c r="Q60" s="9">
        <f t="shared" si="6"/>
        <v>0.21071260300548669</v>
      </c>
      <c r="R60" s="9">
        <f t="shared" si="6"/>
        <v>0.7538253277815351</v>
      </c>
      <c r="S60" s="9">
        <f t="shared" si="6"/>
        <v>0.36899202702037032</v>
      </c>
      <c r="T60" s="9">
        <f t="shared" si="4"/>
        <v>0.75545416264139187</v>
      </c>
      <c r="U60" s="14">
        <f t="shared" si="7"/>
        <v>5.0671836027568459E-5</v>
      </c>
      <c r="W60" s="14">
        <f t="shared" si="5"/>
        <v>0.14916409879717715</v>
      </c>
      <c r="X60" s="16">
        <f t="shared" si="8"/>
        <v>0.93347380710501104</v>
      </c>
    </row>
    <row r="61" spans="1:24" x14ac:dyDescent="0.3">
      <c r="A61" s="9">
        <v>21</v>
      </c>
      <c r="B61" s="9">
        <v>0.53604508929966299</v>
      </c>
      <c r="C61" s="9">
        <v>0.73215100170638503</v>
      </c>
      <c r="D61" s="9">
        <v>0.392465949090537</v>
      </c>
      <c r="E61" s="9">
        <v>3.6249999999999998E-2</v>
      </c>
      <c r="F61" s="9">
        <v>0.01</v>
      </c>
      <c r="G61" s="9">
        <v>0.58848043550124995</v>
      </c>
      <c r="N61" s="9">
        <f t="shared" si="0"/>
        <v>-1.3940626237276914</v>
      </c>
      <c r="O61" s="9">
        <f t="shared" si="1"/>
        <v>0.83113044512181911</v>
      </c>
      <c r="P61" s="9">
        <f t="shared" si="2"/>
        <v>-0.66578691856915451</v>
      </c>
      <c r="Q61" s="9">
        <f t="shared" si="6"/>
        <v>0.19875997407273244</v>
      </c>
      <c r="R61" s="9">
        <f t="shared" si="6"/>
        <v>0.69659390343038008</v>
      </c>
      <c r="S61" s="9">
        <f t="shared" si="6"/>
        <v>0.33944086115203381</v>
      </c>
      <c r="T61" s="9">
        <f t="shared" si="4"/>
        <v>0.58627833506894078</v>
      </c>
      <c r="U61" s="14">
        <f t="shared" si="7"/>
        <v>4.8492463139762468E-6</v>
      </c>
      <c r="W61" s="14">
        <f t="shared" si="5"/>
        <v>0.31394710065303533</v>
      </c>
      <c r="X61" s="16">
        <f t="shared" si="8"/>
        <v>0.3742011287823851</v>
      </c>
    </row>
    <row r="62" spans="1:24" x14ac:dyDescent="0.3">
      <c r="A62" s="9">
        <v>22</v>
      </c>
      <c r="B62" s="9">
        <v>0.482056160699321</v>
      </c>
      <c r="C62" s="9">
        <v>0.69430264344831705</v>
      </c>
      <c r="D62" s="9">
        <v>0.33469286666408499</v>
      </c>
      <c r="E62" s="9">
        <v>1.8888888888889E-2</v>
      </c>
      <c r="F62" s="9">
        <v>0.01</v>
      </c>
      <c r="G62" s="9">
        <v>0.56066478758431404</v>
      </c>
      <c r="N62" s="9">
        <f t="shared" si="0"/>
        <v>-1.4960394914762272</v>
      </c>
      <c r="O62" s="9">
        <f t="shared" si="1"/>
        <v>0.66658147013455005</v>
      </c>
      <c r="P62" s="9">
        <f t="shared" si="2"/>
        <v>-0.78012752559379173</v>
      </c>
      <c r="Q62" s="9">
        <f t="shared" si="6"/>
        <v>0.18301696271406384</v>
      </c>
      <c r="R62" s="9">
        <f t="shared" si="6"/>
        <v>0.66073727107200109</v>
      </c>
      <c r="S62" s="9">
        <f t="shared" si="6"/>
        <v>0.31429240202737962</v>
      </c>
      <c r="T62" s="9">
        <f t="shared" si="4"/>
        <v>0.55993162015249187</v>
      </c>
      <c r="U62" s="14">
        <f t="shared" si="7"/>
        <v>5.3753448308471354E-7</v>
      </c>
      <c r="W62" s="14">
        <f t="shared" si="5"/>
        <v>0.34589157258811354</v>
      </c>
      <c r="X62" s="16">
        <f t="shared" si="8"/>
        <v>0.13076751885580343</v>
      </c>
    </row>
    <row r="63" spans="1:24" x14ac:dyDescent="0.3">
      <c r="A63" s="9">
        <v>23</v>
      </c>
      <c r="B63" s="9">
        <v>0.44329834371454502</v>
      </c>
      <c r="C63" s="9">
        <v>0.66580653625099295</v>
      </c>
      <c r="D63" s="9">
        <v>0.29515093475438398</v>
      </c>
      <c r="E63" s="9">
        <v>1.2812499999999999E-2</v>
      </c>
      <c r="F63" s="9">
        <v>0.01</v>
      </c>
      <c r="G63" s="9">
        <v>0.55533963086315397</v>
      </c>
      <c r="N63" s="9">
        <f t="shared" si="0"/>
        <v>-1.5777089612254149</v>
      </c>
      <c r="O63" s="9">
        <f t="shared" si="1"/>
        <v>0.55612651813466774</v>
      </c>
      <c r="P63" s="9">
        <f t="shared" si="2"/>
        <v>-0.85457789806885098</v>
      </c>
      <c r="Q63" s="9">
        <f t="shared" si="6"/>
        <v>0.17112019374276805</v>
      </c>
      <c r="R63" s="9">
        <f t="shared" si="6"/>
        <v>0.6355558184817387</v>
      </c>
      <c r="S63" s="9">
        <f t="shared" si="6"/>
        <v>0.29847342153884682</v>
      </c>
      <c r="T63" s="9">
        <f t="shared" si="4"/>
        <v>0.55370059868738208</v>
      </c>
      <c r="U63" s="14">
        <f t="shared" si="7"/>
        <v>2.6864264732155089E-6</v>
      </c>
      <c r="W63" s="14">
        <f t="shared" si="5"/>
        <v>0.35218365051848349</v>
      </c>
      <c r="X63" s="16">
        <f t="shared" si="8"/>
        <v>0.29514050225883659</v>
      </c>
    </row>
    <row r="64" spans="1:24" x14ac:dyDescent="0.3">
      <c r="A64" s="9">
        <v>24</v>
      </c>
      <c r="B64" s="9">
        <v>0.75641498946707797</v>
      </c>
      <c r="C64" s="9">
        <v>0.86972121364669397</v>
      </c>
      <c r="D64" s="9">
        <v>0.65787016265985798</v>
      </c>
      <c r="E64" s="9">
        <v>0.24222222222222201</v>
      </c>
      <c r="F64" s="9">
        <v>0.01</v>
      </c>
      <c r="G64" s="9">
        <v>0.95326723500764399</v>
      </c>
      <c r="N64" s="9">
        <f t="shared" si="0"/>
        <v>-1.1302493661281225</v>
      </c>
      <c r="O64" s="9">
        <f t="shared" si="1"/>
        <v>1.6719180520700634</v>
      </c>
      <c r="P64" s="9">
        <f t="shared" si="2"/>
        <v>-0.10975654414455555</v>
      </c>
      <c r="Q64" s="9">
        <f t="shared" si="6"/>
        <v>0.24411508420557651</v>
      </c>
      <c r="R64" s="9">
        <f t="shared" si="6"/>
        <v>0.84183137977536282</v>
      </c>
      <c r="S64" s="9">
        <f t="shared" si="6"/>
        <v>0.47258837628198685</v>
      </c>
      <c r="T64" s="9">
        <f t="shared" si="4"/>
        <v>0.94677366930487461</v>
      </c>
      <c r="U64" s="14">
        <f t="shared" si="7"/>
        <v>4.2166395536182755E-5</v>
      </c>
      <c r="W64" s="14">
        <f t="shared" si="5"/>
        <v>3.8229253729008802E-2</v>
      </c>
      <c r="X64" s="16">
        <f t="shared" si="8"/>
        <v>0.68119048513372082</v>
      </c>
    </row>
    <row r="65" spans="1:24" x14ac:dyDescent="0.3">
      <c r="A65" s="9">
        <v>25</v>
      </c>
      <c r="B65" s="9">
        <v>0.84330333318766404</v>
      </c>
      <c r="C65" s="9">
        <v>0.91831548674062102</v>
      </c>
      <c r="D65" s="9">
        <v>0.77441851088621805</v>
      </c>
      <c r="E65" s="9">
        <v>0.32624999999999998</v>
      </c>
      <c r="F65" s="9">
        <v>0.01</v>
      </c>
      <c r="G65" s="9">
        <v>1.0890159912922399</v>
      </c>
      <c r="N65" s="9">
        <f t="shared" si="0"/>
        <v>-1.0535200184630986</v>
      </c>
      <c r="O65" s="9">
        <f t="shared" si="1"/>
        <v>2.0210733364918827</v>
      </c>
      <c r="P65" s="9">
        <f t="shared" si="2"/>
        <v>0.17216481497688674</v>
      </c>
      <c r="Q65" s="9">
        <f t="shared" si="6"/>
        <v>0.25854973374834295</v>
      </c>
      <c r="R65" s="9">
        <f t="shared" si="6"/>
        <v>0.88299194880430876</v>
      </c>
      <c r="S65" s="9">
        <f t="shared" si="6"/>
        <v>0.54293520355703107</v>
      </c>
      <c r="T65" s="9">
        <f t="shared" si="4"/>
        <v>1.0854603393238365</v>
      </c>
      <c r="U65" s="14">
        <f t="shared" si="7"/>
        <v>1.264266092041141E-5</v>
      </c>
      <c r="W65" s="14">
        <f t="shared" si="5"/>
        <v>3.572963330041022E-3</v>
      </c>
      <c r="X65" s="16">
        <f t="shared" si="8"/>
        <v>0.32650135506130451</v>
      </c>
    </row>
    <row r="66" spans="1:24" x14ac:dyDescent="0.3">
      <c r="A66" s="9">
        <v>26</v>
      </c>
      <c r="B66" s="9">
        <v>0.82722243711388799</v>
      </c>
      <c r="C66" s="9">
        <v>0.90951769477778099</v>
      </c>
      <c r="D66" s="9">
        <v>0.75237344407228102</v>
      </c>
      <c r="E66" s="9">
        <v>0.17</v>
      </c>
      <c r="F66" s="9">
        <v>0.01</v>
      </c>
      <c r="G66" s="9">
        <v>0.82346267283868801</v>
      </c>
      <c r="N66" s="9">
        <f t="shared" ref="N66:N129" si="9">B66*$I$1+C66*$J$1+D66*$K$1+E66*$L$1+F66*$M$1+$I$4</f>
        <v>-0.9751306810705076</v>
      </c>
      <c r="O66" s="9">
        <f t="shared" ref="O66:O129" si="10">$I$2*B66+$J$2*C66+$K$2*D66+$L$2*E66+$M$2*F66+$I$5</f>
        <v>1.8067830877284112</v>
      </c>
      <c r="P66" s="9">
        <f t="shared" ref="P66:P129" si="11">$I$3*B66+$J$3*C66+$K$3*D66+$L$3*E66+$M$3*F66+$I$6</f>
        <v>0.19665562485835109</v>
      </c>
      <c r="Q66" s="9">
        <f t="shared" si="6"/>
        <v>0.27385903069933026</v>
      </c>
      <c r="R66" s="9">
        <f t="shared" si="6"/>
        <v>0.85897263168364668</v>
      </c>
      <c r="S66" s="9">
        <f t="shared" si="6"/>
        <v>0.54900607182621197</v>
      </c>
      <c r="T66" s="9">
        <f t="shared" ref="T66:T129" si="12">$I$7*Q66+$J$7*R66+$K$7*S66+$I$8</f>
        <v>0.82187261251982646</v>
      </c>
      <c r="U66" s="14">
        <f t="shared" si="7"/>
        <v>2.5282918176181022E-6</v>
      </c>
      <c r="W66" s="14">
        <f t="shared" ref="W66:W129" si="13">(G66-$V$4)^2</f>
        <v>0.10583803967842538</v>
      </c>
      <c r="X66" s="16">
        <f t="shared" si="8"/>
        <v>0.1930944013989371</v>
      </c>
    </row>
    <row r="67" spans="1:24" x14ac:dyDescent="0.3">
      <c r="A67" s="9">
        <v>27</v>
      </c>
      <c r="B67" s="9">
        <v>0.79294453563825096</v>
      </c>
      <c r="C67" s="9">
        <v>0.89047433182447799</v>
      </c>
      <c r="D67" s="9">
        <v>0.70609675554634299</v>
      </c>
      <c r="E67" s="9">
        <v>0.1153125</v>
      </c>
      <c r="F67" s="9">
        <v>0.01</v>
      </c>
      <c r="G67" s="9">
        <v>0.7244093984519</v>
      </c>
      <c r="N67" s="9">
        <f t="shared" si="9"/>
        <v>-0.99074980592151185</v>
      </c>
      <c r="O67" s="9">
        <f t="shared" si="10"/>
        <v>1.6458168130417608</v>
      </c>
      <c r="P67" s="9">
        <f t="shared" si="11"/>
        <v>9.5975484436067682E-2</v>
      </c>
      <c r="Q67" s="9">
        <f t="shared" ref="Q67:S130" si="14">1/(1+EXP(-N67))</f>
        <v>0.27076400238399884</v>
      </c>
      <c r="R67" s="9">
        <f t="shared" si="14"/>
        <v>0.8383248789547495</v>
      </c>
      <c r="S67" s="9">
        <f t="shared" si="14"/>
        <v>0.52397547017583002</v>
      </c>
      <c r="T67" s="9">
        <f t="shared" si="12"/>
        <v>0.72374006279755376</v>
      </c>
      <c r="U67" s="14">
        <f t="shared" ref="U67:U130" si="15">(G67-T67)^2</f>
        <v>4.4801021817910522E-7</v>
      </c>
      <c r="W67" s="14">
        <f t="shared" si="13"/>
        <v>0.18009911657477568</v>
      </c>
      <c r="X67" s="16">
        <f t="shared" ref="X67:X130" si="16">100*ABS((T67-G67)/G67)</f>
        <v>9.2397428274210908E-2</v>
      </c>
    </row>
    <row r="68" spans="1:24" x14ac:dyDescent="0.3">
      <c r="A68" s="9">
        <v>28</v>
      </c>
      <c r="B68" s="9">
        <v>0.723369663208</v>
      </c>
      <c r="C68" s="9">
        <v>0.85051141274412101</v>
      </c>
      <c r="D68" s="9">
        <v>0.61523415419127503</v>
      </c>
      <c r="E68" s="9">
        <v>0.1</v>
      </c>
      <c r="F68" s="9">
        <v>0.01</v>
      </c>
      <c r="G68" s="9">
        <v>0.69873798066000303</v>
      </c>
      <c r="N68" s="9">
        <f t="shared" si="9"/>
        <v>-1.0912368759018456</v>
      </c>
      <c r="O68" s="9">
        <f t="shared" si="10"/>
        <v>1.4247179948362281</v>
      </c>
      <c r="P68" s="9">
        <f t="shared" si="11"/>
        <v>-0.14594755081731967</v>
      </c>
      <c r="Q68" s="9">
        <f t="shared" si="14"/>
        <v>0.25138543815797598</v>
      </c>
      <c r="R68" s="9">
        <f t="shared" si="14"/>
        <v>0.80607698381373005</v>
      </c>
      <c r="S68" s="9">
        <f t="shared" si="14"/>
        <v>0.46357774095202042</v>
      </c>
      <c r="T68" s="9">
        <f t="shared" si="12"/>
        <v>0.6949303964807324</v>
      </c>
      <c r="U68" s="14">
        <f t="shared" si="15"/>
        <v>1.4497697282231988E-5</v>
      </c>
      <c r="W68" s="14">
        <f t="shared" si="13"/>
        <v>0.20254705512163812</v>
      </c>
      <c r="X68" s="16">
        <f t="shared" si="16"/>
        <v>0.54492303047189738</v>
      </c>
    </row>
    <row r="69" spans="1:24" x14ac:dyDescent="0.3">
      <c r="A69" s="9">
        <v>29</v>
      </c>
      <c r="B69" s="9">
        <v>0.90058022766249901</v>
      </c>
      <c r="C69" s="9">
        <v>0.94898905560733404</v>
      </c>
      <c r="D69" s="9">
        <v>0.85464077974807295</v>
      </c>
      <c r="E69" s="9">
        <v>0.4</v>
      </c>
      <c r="F69" s="9">
        <v>0.01</v>
      </c>
      <c r="G69" s="9">
        <v>1.20486174188401</v>
      </c>
      <c r="N69" s="9">
        <f t="shared" si="9"/>
        <v>-1.0220418186823568</v>
      </c>
      <c r="O69" s="9">
        <f t="shared" si="10"/>
        <v>2.275757335511071</v>
      </c>
      <c r="P69" s="9">
        <f t="shared" si="11"/>
        <v>0.36551381318106391</v>
      </c>
      <c r="Q69" s="9">
        <f t="shared" si="14"/>
        <v>0.26462986986807585</v>
      </c>
      <c r="R69" s="9">
        <f t="shared" si="14"/>
        <v>0.90684927154345807</v>
      </c>
      <c r="S69" s="9">
        <f t="shared" si="14"/>
        <v>0.59037451439660715</v>
      </c>
      <c r="T69" s="9">
        <f t="shared" si="12"/>
        <v>1.2019526506573959</v>
      </c>
      <c r="U69" s="14">
        <f t="shared" si="15"/>
        <v>8.462811764763078E-6</v>
      </c>
      <c r="W69" s="14">
        <f t="shared" si="13"/>
        <v>3.1440109582589176E-3</v>
      </c>
      <c r="X69" s="16">
        <f t="shared" si="16"/>
        <v>0.2414460618581202</v>
      </c>
    </row>
    <row r="70" spans="1:24" x14ac:dyDescent="0.3">
      <c r="A70" s="9">
        <v>30</v>
      </c>
      <c r="B70" s="9">
        <v>0.93966736106488902</v>
      </c>
      <c r="C70" s="9">
        <v>0.96936441087182901</v>
      </c>
      <c r="D70" s="9">
        <v>0.91088009787415303</v>
      </c>
      <c r="E70" s="9">
        <v>0.47222222222222199</v>
      </c>
      <c r="F70" s="9">
        <v>0.01</v>
      </c>
      <c r="G70" s="9">
        <v>1.31409219752046</v>
      </c>
      <c r="N70" s="9">
        <f t="shared" si="9"/>
        <v>-1.0179420955229974</v>
      </c>
      <c r="O70" s="9">
        <f t="shared" si="10"/>
        <v>2.475127935479323</v>
      </c>
      <c r="P70" s="9">
        <f t="shared" si="11"/>
        <v>0.49291065182795446</v>
      </c>
      <c r="Q70" s="9">
        <f t="shared" si="14"/>
        <v>0.26542844916465097</v>
      </c>
      <c r="R70" s="9">
        <f t="shared" si="14"/>
        <v>0.92237969752916549</v>
      </c>
      <c r="S70" s="9">
        <f t="shared" si="14"/>
        <v>0.62079186742798997</v>
      </c>
      <c r="T70" s="9">
        <f t="shared" si="12"/>
        <v>1.3116979499180004</v>
      </c>
      <c r="U70" s="14">
        <f t="shared" si="15"/>
        <v>5.7324215818837999E-6</v>
      </c>
      <c r="W70" s="14">
        <f t="shared" si="13"/>
        <v>2.7324730187146561E-2</v>
      </c>
      <c r="X70" s="16">
        <f t="shared" si="16"/>
        <v>0.18219784022592342</v>
      </c>
    </row>
    <row r="71" spans="1:24" x14ac:dyDescent="0.3">
      <c r="A71" s="9">
        <v>31</v>
      </c>
      <c r="B71" s="9">
        <v>0.93311773293603195</v>
      </c>
      <c r="C71" s="9">
        <v>0.96598019282800596</v>
      </c>
      <c r="D71" s="9">
        <v>0.90137324759278004</v>
      </c>
      <c r="E71" s="9">
        <v>0.3203125</v>
      </c>
      <c r="F71" s="9">
        <v>0.01</v>
      </c>
      <c r="G71" s="9">
        <v>1.0767334947112499</v>
      </c>
      <c r="N71" s="9">
        <f t="shared" si="9"/>
        <v>-0.92744803280556587</v>
      </c>
      <c r="O71" s="9">
        <f t="shared" si="10"/>
        <v>2.2935479565097863</v>
      </c>
      <c r="P71" s="9">
        <f t="shared" si="11"/>
        <v>0.54980590244388183</v>
      </c>
      <c r="Q71" s="9">
        <f t="shared" si="14"/>
        <v>0.28344274001415964</v>
      </c>
      <c r="R71" s="9">
        <f t="shared" si="14"/>
        <v>0.90834127199284131</v>
      </c>
      <c r="S71" s="9">
        <f t="shared" si="14"/>
        <v>0.63409055772193224</v>
      </c>
      <c r="T71" s="9">
        <f t="shared" si="12"/>
        <v>1.0742292343927091</v>
      </c>
      <c r="U71" s="14">
        <f t="shared" si="15"/>
        <v>6.2713197430179949E-6</v>
      </c>
      <c r="W71" s="14">
        <f t="shared" si="13"/>
        <v>5.1921775811855173E-3</v>
      </c>
      <c r="X71" s="16">
        <f t="shared" si="16"/>
        <v>0.23257940157349319</v>
      </c>
    </row>
    <row r="72" spans="1:24" x14ac:dyDescent="0.3">
      <c r="A72" s="9">
        <v>32</v>
      </c>
      <c r="B72" s="9">
        <v>0.67803485561868704</v>
      </c>
      <c r="C72" s="9">
        <v>0.82342871920931104</v>
      </c>
      <c r="D72" s="9">
        <v>0.55831337274136505</v>
      </c>
      <c r="E72" s="9">
        <v>6.0816326530612003E-2</v>
      </c>
      <c r="F72" s="9">
        <v>0.01</v>
      </c>
      <c r="G72" s="9">
        <v>0.62521916465941596</v>
      </c>
      <c r="N72" s="9">
        <f t="shared" si="9"/>
        <v>-1.1425714604506276</v>
      </c>
      <c r="O72" s="9">
        <f t="shared" si="10"/>
        <v>1.2526887154936317</v>
      </c>
      <c r="P72" s="9">
        <f t="shared" si="11"/>
        <v>-0.27489111688106477</v>
      </c>
      <c r="Q72" s="9">
        <f t="shared" si="14"/>
        <v>0.2418485506500925</v>
      </c>
      <c r="R72" s="9">
        <f t="shared" si="14"/>
        <v>0.77776494366091731</v>
      </c>
      <c r="S72" s="9">
        <f t="shared" si="14"/>
        <v>0.43170672927513354</v>
      </c>
      <c r="T72" s="9">
        <f t="shared" si="12"/>
        <v>0.62251875777943966</v>
      </c>
      <c r="U72" s="14">
        <f t="shared" si="15"/>
        <v>7.2921973174233493E-6</v>
      </c>
      <c r="W72" s="14">
        <f t="shared" si="13"/>
        <v>0.27412669301914971</v>
      </c>
      <c r="X72" s="16">
        <f t="shared" si="16"/>
        <v>0.4319136444653503</v>
      </c>
    </row>
    <row r="73" spans="1:24" x14ac:dyDescent="0.3">
      <c r="A73" s="9">
        <v>33</v>
      </c>
      <c r="B73" s="9">
        <v>0.89158042542455795</v>
      </c>
      <c r="C73" s="9">
        <v>0.94423536548074605</v>
      </c>
      <c r="D73" s="9">
        <v>0.84186176885623698</v>
      </c>
      <c r="E73" s="9">
        <v>0.24326530612244901</v>
      </c>
      <c r="F73" s="9">
        <v>0.01</v>
      </c>
      <c r="G73" s="9">
        <v>0.94960814564469298</v>
      </c>
      <c r="N73" s="9">
        <f t="shared" si="9"/>
        <v>-0.93214064396697305</v>
      </c>
      <c r="O73" s="9">
        <f t="shared" si="10"/>
        <v>2.0817768876714959</v>
      </c>
      <c r="P73" s="9">
        <f t="shared" si="11"/>
        <v>0.41590372503494211</v>
      </c>
      <c r="Q73" s="9">
        <f t="shared" si="14"/>
        <v>0.2824906261327122</v>
      </c>
      <c r="R73" s="9">
        <f t="shared" si="14"/>
        <v>0.88911933095491769</v>
      </c>
      <c r="S73" s="9">
        <f t="shared" si="14"/>
        <v>0.60250263293492423</v>
      </c>
      <c r="T73" s="9">
        <f t="shared" si="12"/>
        <v>0.94800971937281797</v>
      </c>
      <c r="U73" s="14">
        <f t="shared" si="15"/>
        <v>2.5549665466202391E-6</v>
      </c>
      <c r="W73" s="14">
        <f t="shared" si="13"/>
        <v>3.9673515113886101E-2</v>
      </c>
      <c r="X73" s="16">
        <f t="shared" si="16"/>
        <v>0.16832482737285603</v>
      </c>
    </row>
    <row r="74" spans="1:24" x14ac:dyDescent="0.3">
      <c r="A74" s="9">
        <v>34</v>
      </c>
      <c r="B74" s="9">
        <v>0.96611717808573405</v>
      </c>
      <c r="C74" s="9">
        <v>0.98291259941346498</v>
      </c>
      <c r="D74" s="9">
        <v>0.94960874685024999</v>
      </c>
      <c r="E74" s="9">
        <v>0.54734693877550999</v>
      </c>
      <c r="F74" s="9">
        <v>0.01</v>
      </c>
      <c r="G74" s="9">
        <v>1.42411497578636</v>
      </c>
      <c r="N74" s="9">
        <f t="shared" si="9"/>
        <v>-1.0336609107354664</v>
      </c>
      <c r="O74" s="9">
        <f t="shared" si="10"/>
        <v>2.6389511757105213</v>
      </c>
      <c r="P74" s="9">
        <f t="shared" si="11"/>
        <v>0.56782085360203882</v>
      </c>
      <c r="Q74" s="9">
        <f t="shared" si="14"/>
        <v>0.2623749760987143</v>
      </c>
      <c r="R74" s="9">
        <f t="shared" si="14"/>
        <v>0.93332672789763904</v>
      </c>
      <c r="S74" s="9">
        <f t="shared" si="14"/>
        <v>0.63826019659572542</v>
      </c>
      <c r="T74" s="9">
        <f t="shared" si="12"/>
        <v>1.4221879198152108</v>
      </c>
      <c r="U74" s="14">
        <f t="shared" si="15"/>
        <v>3.7135447159421063E-6</v>
      </c>
      <c r="W74" s="14">
        <f t="shared" si="13"/>
        <v>7.5803698521777124E-2</v>
      </c>
      <c r="X74" s="16">
        <f t="shared" si="16"/>
        <v>0.13531603865658473</v>
      </c>
    </row>
    <row r="75" spans="1:24" x14ac:dyDescent="0.3">
      <c r="A75" s="9">
        <v>35</v>
      </c>
      <c r="B75" s="9">
        <v>0.98325960470347495</v>
      </c>
      <c r="C75" s="9">
        <v>0.99159447593432803</v>
      </c>
      <c r="D75" s="9">
        <v>0.97499479243333698</v>
      </c>
      <c r="E75" s="9">
        <v>0.6278125</v>
      </c>
      <c r="F75" s="9">
        <v>0.01</v>
      </c>
      <c r="G75" s="9">
        <v>1.5378516331060299</v>
      </c>
      <c r="N75" s="9">
        <f t="shared" si="9"/>
        <v>-1.0651283889606318</v>
      </c>
      <c r="O75" s="9">
        <f t="shared" si="10"/>
        <v>2.7792570927080549</v>
      </c>
      <c r="P75" s="9">
        <f t="shared" si="11"/>
        <v>0.59996054301429147</v>
      </c>
      <c r="Q75" s="9">
        <f t="shared" si="14"/>
        <v>0.25633063330168676</v>
      </c>
      <c r="R75" s="9">
        <f t="shared" si="14"/>
        <v>0.9415445694439375</v>
      </c>
      <c r="S75" s="9">
        <f t="shared" si="14"/>
        <v>0.64564727903740993</v>
      </c>
      <c r="T75" s="9">
        <f t="shared" si="12"/>
        <v>1.5368572934379485</v>
      </c>
      <c r="U75" s="14">
        <f t="shared" si="15"/>
        <v>9.8871137552018647E-7</v>
      </c>
      <c r="W75" s="14">
        <f t="shared" si="13"/>
        <v>0.15136875119378751</v>
      </c>
      <c r="X75" s="16">
        <f t="shared" si="16"/>
        <v>6.4657711230119833E-2</v>
      </c>
    </row>
    <row r="76" spans="1:24" x14ac:dyDescent="0.3">
      <c r="A76" s="9">
        <v>36</v>
      </c>
      <c r="B76" s="9">
        <v>0.63822315837842403</v>
      </c>
      <c r="C76" s="9">
        <v>0.79888870212215701</v>
      </c>
      <c r="D76" s="9">
        <v>0.50986927066124299</v>
      </c>
      <c r="E76" s="9">
        <v>4.4691358024691E-2</v>
      </c>
      <c r="F76" s="9">
        <v>0.01</v>
      </c>
      <c r="G76" s="9">
        <v>0.59585162618667598</v>
      </c>
      <c r="N76" s="9">
        <f t="shared" si="9"/>
        <v>-1.2028626476429152</v>
      </c>
      <c r="O76" s="9">
        <f t="shared" si="10"/>
        <v>1.1227877155183472</v>
      </c>
      <c r="P76" s="9">
        <f t="shared" si="11"/>
        <v>-0.39003992989143677</v>
      </c>
      <c r="Q76" s="9">
        <f t="shared" si="14"/>
        <v>0.23096635890195721</v>
      </c>
      <c r="R76" s="9">
        <f t="shared" si="14"/>
        <v>0.75450544285122378</v>
      </c>
      <c r="S76" s="9">
        <f t="shared" si="14"/>
        <v>0.40370768843170507</v>
      </c>
      <c r="T76" s="9">
        <f t="shared" si="12"/>
        <v>0.59347812085928908</v>
      </c>
      <c r="U76" s="14">
        <f t="shared" si="15"/>
        <v>5.6335275391339638E-6</v>
      </c>
      <c r="W76" s="14">
        <f t="shared" si="13"/>
        <v>0.30574113397046843</v>
      </c>
      <c r="X76" s="16">
        <f t="shared" si="16"/>
        <v>0.39833831495549049</v>
      </c>
    </row>
    <row r="77" spans="1:24" x14ac:dyDescent="0.3">
      <c r="A77" s="9">
        <v>37</v>
      </c>
      <c r="B77" s="9">
        <v>0.86512518623928802</v>
      </c>
      <c r="C77" s="9">
        <v>0.93012105999127204</v>
      </c>
      <c r="D77" s="9">
        <v>0.80467115525003297</v>
      </c>
      <c r="E77" s="9">
        <v>0.178765432098765</v>
      </c>
      <c r="F77" s="9">
        <v>0.01</v>
      </c>
      <c r="G77" s="9">
        <v>0.83772910684795199</v>
      </c>
      <c r="N77" s="9">
        <f t="shared" si="9"/>
        <v>-0.92657913103461365</v>
      </c>
      <c r="O77" s="9">
        <f t="shared" si="10"/>
        <v>1.9317036230194498</v>
      </c>
      <c r="P77" s="9">
        <f t="shared" si="11"/>
        <v>0.34300773783438643</v>
      </c>
      <c r="Q77" s="9">
        <f t="shared" si="14"/>
        <v>0.28361924973203156</v>
      </c>
      <c r="R77" s="9">
        <f t="shared" si="14"/>
        <v>0.87343786529769685</v>
      </c>
      <c r="S77" s="9">
        <f t="shared" si="14"/>
        <v>0.58492095290310064</v>
      </c>
      <c r="T77" s="9">
        <f t="shared" si="12"/>
        <v>0.83765068897955086</v>
      </c>
      <c r="U77" s="14">
        <f t="shared" si="15"/>
        <v>6.1493620845763281E-9</v>
      </c>
      <c r="W77" s="14">
        <f t="shared" si="13"/>
        <v>9.6759041679361071E-2</v>
      </c>
      <c r="X77" s="16">
        <f t="shared" si="16"/>
        <v>9.3607668350192512E-3</v>
      </c>
    </row>
    <row r="78" spans="1:24" x14ac:dyDescent="0.3">
      <c r="A78" s="9">
        <v>38</v>
      </c>
      <c r="B78" s="9">
        <v>0.95986863223136598</v>
      </c>
      <c r="C78" s="9">
        <v>0.97972885648600005</v>
      </c>
      <c r="D78" s="9">
        <v>0.94041099743281698</v>
      </c>
      <c r="E78" s="9">
        <v>0.40222222222222198</v>
      </c>
      <c r="F78" s="9">
        <v>0.01</v>
      </c>
      <c r="G78" s="9">
        <v>1.2063449281957499</v>
      </c>
      <c r="N78" s="9">
        <f t="shared" si="9"/>
        <v>-0.9469308870065416</v>
      </c>
      <c r="O78" s="9">
        <f t="shared" si="10"/>
        <v>2.4652940263683112</v>
      </c>
      <c r="P78" s="9">
        <f t="shared" si="11"/>
        <v>0.62155212862602049</v>
      </c>
      <c r="Q78" s="9">
        <f t="shared" si="14"/>
        <v>0.2795024640566216</v>
      </c>
      <c r="R78" s="9">
        <f t="shared" si="14"/>
        <v>0.92167270405881929</v>
      </c>
      <c r="S78" s="9">
        <f t="shared" si="14"/>
        <v>0.65057147363912748</v>
      </c>
      <c r="T78" s="9">
        <f t="shared" si="12"/>
        <v>1.203302419986902</v>
      </c>
      <c r="U78" s="14">
        <f t="shared" si="15"/>
        <v>9.2568562009067511E-6</v>
      </c>
      <c r="W78" s="14">
        <f t="shared" si="13"/>
        <v>3.3125397054749733E-3</v>
      </c>
      <c r="X78" s="16">
        <f t="shared" si="16"/>
        <v>0.25220881173665322</v>
      </c>
    </row>
    <row r="79" spans="1:24" x14ac:dyDescent="0.3">
      <c r="A79" s="9">
        <v>39</v>
      </c>
      <c r="B79" s="9">
        <v>0.993341005660478</v>
      </c>
      <c r="C79" s="9">
        <v>0.99666494152271501</v>
      </c>
      <c r="D79" s="9">
        <v>0.99002815531871602</v>
      </c>
      <c r="E79" s="9">
        <v>0.71506172839506199</v>
      </c>
      <c r="F79" s="9">
        <v>0.01</v>
      </c>
      <c r="G79" s="9">
        <v>1.6576760228891501</v>
      </c>
      <c r="N79" s="9">
        <f t="shared" si="9"/>
        <v>-1.1098414006581152</v>
      </c>
      <c r="O79" s="9">
        <f t="shared" si="10"/>
        <v>2.9042265008741035</v>
      </c>
      <c r="P79" s="9">
        <f t="shared" si="11"/>
        <v>0.59692753160650491</v>
      </c>
      <c r="Q79" s="9">
        <f t="shared" si="14"/>
        <v>0.24790045756257637</v>
      </c>
      <c r="R79" s="9">
        <f t="shared" si="14"/>
        <v>0.94805497291168173</v>
      </c>
      <c r="S79" s="9">
        <f t="shared" si="14"/>
        <v>0.64495305971131422</v>
      </c>
      <c r="T79" s="9">
        <f t="shared" si="12"/>
        <v>1.6568597618541041</v>
      </c>
      <c r="U79" s="14">
        <f t="shared" si="15"/>
        <v>6.6628207733428714E-7</v>
      </c>
      <c r="W79" s="14">
        <f t="shared" si="13"/>
        <v>0.25896471856032111</v>
      </c>
      <c r="X79" s="16">
        <f t="shared" si="16"/>
        <v>4.9241288633909065E-2</v>
      </c>
    </row>
    <row r="80" spans="1:24" x14ac:dyDescent="0.3">
      <c r="A80" s="9">
        <v>1</v>
      </c>
      <c r="B80" s="9">
        <v>1</v>
      </c>
      <c r="C80" s="9">
        <v>1</v>
      </c>
      <c r="D80" s="9">
        <v>1</v>
      </c>
      <c r="E80" s="9">
        <v>1</v>
      </c>
      <c r="F80" s="9">
        <v>2.5000000000000001E-2</v>
      </c>
      <c r="G80" s="9">
        <v>2.0221809001992002</v>
      </c>
      <c r="N80" s="9">
        <f t="shared" si="9"/>
        <v>-1.2927254414349914</v>
      </c>
      <c r="O80" s="9">
        <f t="shared" si="10"/>
        <v>3.2239717804710244</v>
      </c>
      <c r="P80" s="9">
        <f t="shared" si="11"/>
        <v>0.44543273426397223</v>
      </c>
      <c r="Q80" s="9">
        <f t="shared" si="14"/>
        <v>0.21539185884227735</v>
      </c>
      <c r="R80" s="9">
        <f t="shared" si="14"/>
        <v>0.96172647881535189</v>
      </c>
      <c r="S80" s="9">
        <f t="shared" si="14"/>
        <v>0.60955277848044531</v>
      </c>
      <c r="T80" s="9">
        <f t="shared" si="12"/>
        <v>2.0153007902144058</v>
      </c>
      <c r="U80" s="14">
        <f t="shared" si="15"/>
        <v>4.7335913402867326E-5</v>
      </c>
      <c r="W80" s="14">
        <f t="shared" si="13"/>
        <v>0.76281120848086514</v>
      </c>
      <c r="X80" s="16">
        <f t="shared" si="16"/>
        <v>0.34023217132140043</v>
      </c>
    </row>
    <row r="81" spans="1:24" x14ac:dyDescent="0.3">
      <c r="A81" s="9">
        <v>2</v>
      </c>
      <c r="B81" s="9">
        <v>0.99805795702633604</v>
      </c>
      <c r="C81" s="9">
        <v>0.99902850661346798</v>
      </c>
      <c r="D81" s="9">
        <v>0.99708835032170995</v>
      </c>
      <c r="E81" s="9">
        <v>0.90500000000000003</v>
      </c>
      <c r="F81" s="9">
        <v>2.5000000000000001E-2</v>
      </c>
      <c r="G81" s="9">
        <v>1.90535157713114</v>
      </c>
      <c r="N81" s="9">
        <f t="shared" si="9"/>
        <v>-1.2331803368767591</v>
      </c>
      <c r="O81" s="9">
        <f t="shared" si="10"/>
        <v>3.117076430061382</v>
      </c>
      <c r="P81" s="9">
        <f t="shared" si="11"/>
        <v>0.48993727086329009</v>
      </c>
      <c r="Q81" s="9">
        <f t="shared" si="14"/>
        <v>0.22562527717673342</v>
      </c>
      <c r="R81" s="9">
        <f t="shared" si="14"/>
        <v>0.9575916610614329</v>
      </c>
      <c r="S81" s="9">
        <f t="shared" si="14"/>
        <v>0.62009165485019868</v>
      </c>
      <c r="T81" s="9">
        <f t="shared" si="12"/>
        <v>1.9022097726098379</v>
      </c>
      <c r="U81" s="14">
        <f t="shared" si="15"/>
        <v>9.8709356500742104E-6</v>
      </c>
      <c r="W81" s="14">
        <f t="shared" si="13"/>
        <v>0.5723850249275525</v>
      </c>
      <c r="X81" s="16">
        <f t="shared" si="16"/>
        <v>0.16489368991063855</v>
      </c>
    </row>
    <row r="82" spans="1:24" x14ac:dyDescent="0.3">
      <c r="A82" s="9">
        <v>3</v>
      </c>
      <c r="B82" s="9">
        <v>0.99152490614171696</v>
      </c>
      <c r="C82" s="9">
        <v>0.99575343641973801</v>
      </c>
      <c r="D82" s="9">
        <v>0.98731433258637302</v>
      </c>
      <c r="E82" s="9">
        <v>0.82</v>
      </c>
      <c r="F82" s="9">
        <v>2.5000000000000001E-2</v>
      </c>
      <c r="G82" s="9">
        <v>1.79743540247232</v>
      </c>
      <c r="N82" s="9">
        <f t="shared" si="9"/>
        <v>-1.1856126747034506</v>
      </c>
      <c r="O82" s="9">
        <f t="shared" si="10"/>
        <v>3.0059024066626563</v>
      </c>
      <c r="P82" s="9">
        <f t="shared" si="11"/>
        <v>0.50775382013989379</v>
      </c>
      <c r="Q82" s="9">
        <f t="shared" si="14"/>
        <v>0.23404452350865601</v>
      </c>
      <c r="R82" s="9">
        <f t="shared" si="14"/>
        <v>0.952840066668876</v>
      </c>
      <c r="S82" s="9">
        <f t="shared" si="14"/>
        <v>0.62427977004084789</v>
      </c>
      <c r="T82" s="9">
        <f t="shared" si="12"/>
        <v>1.7958297356329145</v>
      </c>
      <c r="U82" s="14">
        <f t="shared" si="15"/>
        <v>2.5781659991666103E-6</v>
      </c>
      <c r="W82" s="14">
        <f t="shared" si="13"/>
        <v>0.42074051943687579</v>
      </c>
      <c r="X82" s="16">
        <f t="shared" si="16"/>
        <v>8.9330989987011652E-2</v>
      </c>
    </row>
    <row r="83" spans="1:24" x14ac:dyDescent="0.3">
      <c r="A83" s="9">
        <v>4</v>
      </c>
      <c r="B83" s="9">
        <v>0.97911342554320102</v>
      </c>
      <c r="C83" s="9">
        <v>0.98950160461881098</v>
      </c>
      <c r="D83" s="9">
        <v>0.96883430567881701</v>
      </c>
      <c r="E83" s="9">
        <v>0.745</v>
      </c>
      <c r="F83" s="9">
        <v>2.5000000000000001E-2</v>
      </c>
      <c r="G83" s="9">
        <v>1.6989158480376501</v>
      </c>
      <c r="N83" s="9">
        <f t="shared" si="9"/>
        <v>-1.1517237490576606</v>
      </c>
      <c r="O83" s="9">
        <f t="shared" si="10"/>
        <v>2.8864199744849763</v>
      </c>
      <c r="P83" s="9">
        <f t="shared" si="11"/>
        <v>0.49339079235310224</v>
      </c>
      <c r="Q83" s="9">
        <f t="shared" si="14"/>
        <v>0.24017437410295631</v>
      </c>
      <c r="R83" s="9">
        <f t="shared" si="14"/>
        <v>0.94717103051002216</v>
      </c>
      <c r="S83" s="9">
        <f t="shared" si="14"/>
        <v>0.62090489042763231</v>
      </c>
      <c r="T83" s="9">
        <f t="shared" si="12"/>
        <v>1.6980528394463006</v>
      </c>
      <c r="U83" s="14">
        <f t="shared" si="15"/>
        <v>7.4478382874299278E-7</v>
      </c>
      <c r="W83" s="14">
        <f t="shared" si="13"/>
        <v>0.30263816141278826</v>
      </c>
      <c r="X83" s="16">
        <f t="shared" si="16"/>
        <v>5.0797606741163473E-2</v>
      </c>
    </row>
    <row r="84" spans="1:24" x14ac:dyDescent="0.3">
      <c r="A84" s="9">
        <v>5</v>
      </c>
      <c r="B84" s="9">
        <v>0.95913394700955001</v>
      </c>
      <c r="C84" s="9">
        <v>0.97935384157593897</v>
      </c>
      <c r="D84" s="9">
        <v>0.93933151558969596</v>
      </c>
      <c r="E84" s="9">
        <v>0.68</v>
      </c>
      <c r="F84" s="9">
        <v>2.5000000000000001E-2</v>
      </c>
      <c r="G84" s="9">
        <v>1.61147199710581</v>
      </c>
      <c r="N84" s="9">
        <f t="shared" si="9"/>
        <v>-1.1339605637700807</v>
      </c>
      <c r="O84" s="9">
        <f t="shared" si="10"/>
        <v>2.7535142729610875</v>
      </c>
      <c r="P84" s="9">
        <f t="shared" si="11"/>
        <v>0.44017080390919183</v>
      </c>
      <c r="Q84" s="9">
        <f t="shared" si="14"/>
        <v>0.24343093369915891</v>
      </c>
      <c r="R84" s="9">
        <f t="shared" si="14"/>
        <v>0.94011151620116473</v>
      </c>
      <c r="S84" s="9">
        <f t="shared" si="14"/>
        <v>0.60829972914631114</v>
      </c>
      <c r="T84" s="9">
        <f t="shared" si="12"/>
        <v>1.6104546991587778</v>
      </c>
      <c r="U84" s="14">
        <f t="shared" si="15"/>
        <v>1.0348951130359349E-6</v>
      </c>
      <c r="W84" s="14">
        <f t="shared" si="13"/>
        <v>0.214074388841167</v>
      </c>
      <c r="X84" s="16">
        <f t="shared" si="16"/>
        <v>6.3128490526627917E-2</v>
      </c>
    </row>
    <row r="85" spans="1:24" x14ac:dyDescent="0.3">
      <c r="A85" s="9">
        <v>6</v>
      </c>
      <c r="B85" s="9">
        <v>0.92929286340991601</v>
      </c>
      <c r="C85" s="9">
        <v>0.96399837313655001</v>
      </c>
      <c r="D85" s="9">
        <v>0.89583680849456504</v>
      </c>
      <c r="E85" s="9">
        <v>0.625</v>
      </c>
      <c r="F85" s="9">
        <v>2.5000000000000001E-2</v>
      </c>
      <c r="G85" s="9">
        <v>1.5354943736912301</v>
      </c>
      <c r="N85" s="9">
        <f t="shared" si="9"/>
        <v>-1.1360128378501291</v>
      </c>
      <c r="O85" s="9">
        <f t="shared" si="10"/>
        <v>2.6005284919731517</v>
      </c>
      <c r="P85" s="9">
        <f t="shared" si="11"/>
        <v>0.33994104974232009</v>
      </c>
      <c r="Q85" s="9">
        <f t="shared" si="14"/>
        <v>0.24305316068141999</v>
      </c>
      <c r="R85" s="9">
        <f t="shared" si="14"/>
        <v>0.93089558475718626</v>
      </c>
      <c r="S85" s="9">
        <f t="shared" si="14"/>
        <v>0.58417620314195084</v>
      </c>
      <c r="T85" s="9">
        <f t="shared" si="12"/>
        <v>1.5342424092647424</v>
      </c>
      <c r="U85" s="14">
        <f t="shared" si="15"/>
        <v>1.5674149251906075E-6</v>
      </c>
      <c r="W85" s="14">
        <f t="shared" si="13"/>
        <v>0.14954007070150407</v>
      </c>
      <c r="X85" s="16">
        <f t="shared" si="16"/>
        <v>8.153494066396548E-2</v>
      </c>
    </row>
    <row r="86" spans="1:24" x14ac:dyDescent="0.3">
      <c r="A86" s="9">
        <v>7</v>
      </c>
      <c r="B86" s="9">
        <v>0.88629579591014296</v>
      </c>
      <c r="C86" s="9">
        <v>0.941432841954296</v>
      </c>
      <c r="D86" s="9">
        <v>0.83438796995583098</v>
      </c>
      <c r="E86" s="9">
        <v>0.57999999999999996</v>
      </c>
      <c r="F86" s="9">
        <v>2.5000000000000001E-2</v>
      </c>
      <c r="G86" s="9">
        <v>1.47263299675282</v>
      </c>
      <c r="N86" s="9">
        <f t="shared" si="9"/>
        <v>-1.1638163931348988</v>
      </c>
      <c r="O86" s="9">
        <f t="shared" si="10"/>
        <v>2.4183649263820621</v>
      </c>
      <c r="P86" s="9">
        <f t="shared" si="11"/>
        <v>0.18257548083262387</v>
      </c>
      <c r="Q86" s="9">
        <f t="shared" si="14"/>
        <v>0.23797451840348999</v>
      </c>
      <c r="R86" s="9">
        <f t="shared" si="14"/>
        <v>0.9182170434273802</v>
      </c>
      <c r="S86" s="9">
        <f t="shared" si="14"/>
        <v>0.54551750110079678</v>
      </c>
      <c r="T86" s="9">
        <f t="shared" si="12"/>
        <v>1.470397845274789</v>
      </c>
      <c r="U86" s="14">
        <f t="shared" si="15"/>
        <v>4.9959021297441391E-6</v>
      </c>
      <c r="W86" s="14">
        <f t="shared" si="13"/>
        <v>0.10487411744057352</v>
      </c>
      <c r="X86" s="16">
        <f t="shared" si="16"/>
        <v>0.15177926088574276</v>
      </c>
    </row>
    <row r="87" spans="1:24" x14ac:dyDescent="0.3">
      <c r="A87" s="9">
        <v>8</v>
      </c>
      <c r="B87" s="9">
        <v>0.82493648944805298</v>
      </c>
      <c r="C87" s="9">
        <v>0.90826014414816902</v>
      </c>
      <c r="D87" s="9">
        <v>0.74925693481917399</v>
      </c>
      <c r="E87" s="9">
        <v>0.54500000000000004</v>
      </c>
      <c r="F87" s="9">
        <v>2.5000000000000001E-2</v>
      </c>
      <c r="G87" s="9">
        <v>1.4235819747868299</v>
      </c>
      <c r="N87" s="9">
        <f t="shared" si="9"/>
        <v>-1.2278843110634876</v>
      </c>
      <c r="O87" s="9">
        <f t="shared" si="10"/>
        <v>2.1933771128591122</v>
      </c>
      <c r="P87" s="9">
        <f t="shared" si="11"/>
        <v>-4.5087185063433344E-2</v>
      </c>
      <c r="Q87" s="9">
        <f t="shared" si="14"/>
        <v>0.22655193528049228</v>
      </c>
      <c r="R87" s="9">
        <f t="shared" si="14"/>
        <v>0.89965319489674667</v>
      </c>
      <c r="S87" s="9">
        <f t="shared" si="14"/>
        <v>0.48873011283930123</v>
      </c>
      <c r="T87" s="9">
        <f t="shared" si="12"/>
        <v>1.4203710022958616</v>
      </c>
      <c r="U87" s="14">
        <f t="shared" si="15"/>
        <v>1.0310344337755527E-5</v>
      </c>
      <c r="W87" s="14">
        <f t="shared" si="13"/>
        <v>7.5510485915587261E-2</v>
      </c>
      <c r="X87" s="16">
        <f t="shared" si="16"/>
        <v>0.22555585472688872</v>
      </c>
    </row>
    <row r="88" spans="1:24" x14ac:dyDescent="0.3">
      <c r="A88" s="9">
        <v>9</v>
      </c>
      <c r="B88" s="9">
        <v>0.73549094564436901</v>
      </c>
      <c r="C88" s="9">
        <v>0.85760768749141303</v>
      </c>
      <c r="D88" s="9">
        <v>0.63076268906494104</v>
      </c>
      <c r="E88" s="9">
        <v>0.52</v>
      </c>
      <c r="F88" s="9">
        <v>2.5000000000000001E-2</v>
      </c>
      <c r="G88" s="9">
        <v>1.3897832019371601</v>
      </c>
      <c r="N88" s="9">
        <f t="shared" si="9"/>
        <v>-1.3500473392812089</v>
      </c>
      <c r="O88" s="9">
        <f t="shared" si="10"/>
        <v>1.9011688512215417</v>
      </c>
      <c r="P88" s="9">
        <f t="shared" si="11"/>
        <v>-0.36204753732756079</v>
      </c>
      <c r="Q88" s="9">
        <f t="shared" si="14"/>
        <v>0.20586263251557887</v>
      </c>
      <c r="R88" s="9">
        <f t="shared" si="14"/>
        <v>0.87002375933524367</v>
      </c>
      <c r="S88" s="9">
        <f t="shared" si="14"/>
        <v>0.41046400541319011</v>
      </c>
      <c r="T88" s="9">
        <f t="shared" si="12"/>
        <v>1.3879400021583779</v>
      </c>
      <c r="U88" s="14">
        <f t="shared" si="15"/>
        <v>3.3973854245028355E-6</v>
      </c>
      <c r="W88" s="14">
        <f t="shared" si="13"/>
        <v>5.8077597537414483E-2</v>
      </c>
      <c r="X88" s="16">
        <f t="shared" si="16"/>
        <v>0.13262498612827273</v>
      </c>
    </row>
    <row r="89" spans="1:24" x14ac:dyDescent="0.3">
      <c r="A89" s="9">
        <v>10</v>
      </c>
      <c r="B89" s="9">
        <v>0.592782777626775</v>
      </c>
      <c r="C89" s="9">
        <v>0.769923877813109</v>
      </c>
      <c r="D89" s="9">
        <v>0.45639761485123198</v>
      </c>
      <c r="E89" s="9">
        <v>0.505</v>
      </c>
      <c r="F89" s="9">
        <v>2.5000000000000001E-2</v>
      </c>
      <c r="G89" s="9">
        <v>1.38050170100697</v>
      </c>
      <c r="N89" s="9">
        <f t="shared" si="9"/>
        <v>-1.5925254814399956</v>
      </c>
      <c r="O89" s="9">
        <f t="shared" si="10"/>
        <v>1.4797659789273514</v>
      </c>
      <c r="P89" s="9">
        <f t="shared" si="11"/>
        <v>-0.80263454141197876</v>
      </c>
      <c r="Q89" s="9">
        <f t="shared" si="14"/>
        <v>0.16902887601167163</v>
      </c>
      <c r="R89" s="9">
        <f t="shared" si="14"/>
        <v>0.81453723060452188</v>
      </c>
      <c r="S89" s="9">
        <f t="shared" si="14"/>
        <v>0.30946224715931298</v>
      </c>
      <c r="T89" s="9">
        <f t="shared" si="12"/>
        <v>1.3815066897948616</v>
      </c>
      <c r="U89" s="14">
        <f t="shared" si="15"/>
        <v>1.0100024637877667E-6</v>
      </c>
      <c r="W89" s="14">
        <f t="shared" si="13"/>
        <v>5.3690191387676098E-2</v>
      </c>
      <c r="X89" s="16">
        <f t="shared" si="16"/>
        <v>7.2798808372239426E-2</v>
      </c>
    </row>
    <row r="90" spans="1:24" x14ac:dyDescent="0.3">
      <c r="A90" s="9">
        <v>11</v>
      </c>
      <c r="B90" s="9">
        <v>0.99798365800029598</v>
      </c>
      <c r="C90" s="9">
        <v>0.99899132028276205</v>
      </c>
      <c r="D90" s="9">
        <v>0.99697701212633705</v>
      </c>
      <c r="E90" s="9">
        <v>0.81</v>
      </c>
      <c r="F90" s="9">
        <v>2.5000000000000001E-2</v>
      </c>
      <c r="G90" s="9">
        <v>1.78469548572465</v>
      </c>
      <c r="N90" s="9">
        <f t="shared" si="9"/>
        <v>-1.1714284228014069</v>
      </c>
      <c r="O90" s="9">
        <f t="shared" si="10"/>
        <v>3.0162442410254897</v>
      </c>
      <c r="P90" s="9">
        <f t="shared" si="11"/>
        <v>0.54305356531309901</v>
      </c>
      <c r="Q90" s="9">
        <f t="shared" si="14"/>
        <v>0.23659688719522456</v>
      </c>
      <c r="R90" s="9">
        <f t="shared" si="14"/>
        <v>0.95330261570409902</v>
      </c>
      <c r="S90" s="9">
        <f t="shared" si="14"/>
        <v>0.63252246850709726</v>
      </c>
      <c r="T90" s="9">
        <f t="shared" si="12"/>
        <v>1.7834635404718608</v>
      </c>
      <c r="U90" s="14">
        <f t="shared" si="15"/>
        <v>1.5176891058696859E-6</v>
      </c>
      <c r="W90" s="14">
        <f t="shared" si="13"/>
        <v>0.40437545471567005</v>
      </c>
      <c r="X90" s="16">
        <f t="shared" si="16"/>
        <v>6.9028316743285842E-2</v>
      </c>
    </row>
    <row r="91" spans="1:24" x14ac:dyDescent="0.3">
      <c r="A91" s="9">
        <v>12</v>
      </c>
      <c r="B91" s="9">
        <v>0.99082969587065495</v>
      </c>
      <c r="C91" s="9">
        <v>0.99540428764932198</v>
      </c>
      <c r="D91" s="9">
        <v>0.986276127599925</v>
      </c>
      <c r="E91" s="9">
        <v>0.64</v>
      </c>
      <c r="F91" s="9">
        <v>2.5000000000000001E-2</v>
      </c>
      <c r="G91" s="9">
        <v>1.55720439148669</v>
      </c>
      <c r="N91" s="9">
        <f t="shared" si="9"/>
        <v>-1.0692724798440918</v>
      </c>
      <c r="O91" s="9">
        <f t="shared" si="10"/>
        <v>2.8130590758257368</v>
      </c>
      <c r="P91" s="9">
        <f t="shared" si="11"/>
        <v>0.60585943770108752</v>
      </c>
      <c r="Q91" s="9">
        <f t="shared" si="14"/>
        <v>0.25554146300764657</v>
      </c>
      <c r="R91" s="9">
        <f t="shared" si="14"/>
        <v>0.94337744593632433</v>
      </c>
      <c r="S91" s="9">
        <f t="shared" si="14"/>
        <v>0.64699570626782044</v>
      </c>
      <c r="T91" s="9">
        <f t="shared" si="12"/>
        <v>1.5558033768693798</v>
      </c>
      <c r="U91" s="14">
        <f t="shared" si="15"/>
        <v>1.9628419579169489E-6</v>
      </c>
      <c r="W91" s="14">
        <f t="shared" si="13"/>
        <v>0.16680210190641631</v>
      </c>
      <c r="X91" s="16">
        <f t="shared" si="16"/>
        <v>8.9969860409439495E-2</v>
      </c>
    </row>
    <row r="92" spans="1:24" x14ac:dyDescent="0.3">
      <c r="A92" s="9">
        <v>13</v>
      </c>
      <c r="B92" s="9">
        <v>0.976358383123614</v>
      </c>
      <c r="C92" s="9">
        <v>0.98810848752736302</v>
      </c>
      <c r="D92" s="9">
        <v>0.96474800523293602</v>
      </c>
      <c r="E92" s="9">
        <v>0.49</v>
      </c>
      <c r="F92" s="9">
        <v>2.5000000000000001E-2</v>
      </c>
      <c r="G92" s="9">
        <v>1.3421702119579599</v>
      </c>
      <c r="N92" s="9">
        <f t="shared" si="9"/>
        <v>-0.98908008672583758</v>
      </c>
      <c r="O92" s="9">
        <f t="shared" si="10"/>
        <v>2.6075452608354528</v>
      </c>
      <c r="P92" s="9">
        <f t="shared" si="11"/>
        <v>0.6244095534539198</v>
      </c>
      <c r="Q92" s="9">
        <f t="shared" si="14"/>
        <v>0.27109381603355981</v>
      </c>
      <c r="R92" s="9">
        <f t="shared" si="14"/>
        <v>0.93134560396939892</v>
      </c>
      <c r="S92" s="9">
        <f t="shared" si="14"/>
        <v>0.65122076717323873</v>
      </c>
      <c r="T92" s="9">
        <f t="shared" si="12"/>
        <v>1.3391885046818262</v>
      </c>
      <c r="U92" s="14">
        <f t="shared" si="15"/>
        <v>8.8905782805491408E-6</v>
      </c>
      <c r="W92" s="14">
        <f t="shared" si="13"/>
        <v>3.7395805397094126E-2</v>
      </c>
      <c r="X92" s="16">
        <f t="shared" si="16"/>
        <v>0.22215567366705774</v>
      </c>
    </row>
    <row r="93" spans="1:24" x14ac:dyDescent="0.3">
      <c r="A93" s="9">
        <v>14</v>
      </c>
      <c r="B93" s="9">
        <v>0.95144310139704402</v>
      </c>
      <c r="C93" s="9">
        <v>0.97541944895365096</v>
      </c>
      <c r="D93" s="9">
        <v>0.92805610567545704</v>
      </c>
      <c r="E93" s="9">
        <v>0.36</v>
      </c>
      <c r="F93" s="9">
        <v>2.5000000000000001E-2</v>
      </c>
      <c r="G93" s="9">
        <v>1.1421987140912699</v>
      </c>
      <c r="N93" s="9">
        <f t="shared" si="9"/>
        <v>-0.93527703457457223</v>
      </c>
      <c r="O93" s="9">
        <f t="shared" si="10"/>
        <v>2.3901519945488712</v>
      </c>
      <c r="P93" s="9">
        <f t="shared" si="11"/>
        <v>0.58609438718087259</v>
      </c>
      <c r="Q93" s="9">
        <f t="shared" si="14"/>
        <v>0.28185534605356943</v>
      </c>
      <c r="R93" s="9">
        <f t="shared" si="14"/>
        <v>0.91607325464549583</v>
      </c>
      <c r="S93" s="9">
        <f t="shared" si="14"/>
        <v>0.6424685158474841</v>
      </c>
      <c r="T93" s="9">
        <f t="shared" si="12"/>
        <v>1.1394784886107789</v>
      </c>
      <c r="U93" s="14">
        <f t="shared" si="15"/>
        <v>7.3996266647124966E-6</v>
      </c>
      <c r="W93" s="14">
        <f t="shared" si="13"/>
        <v>4.3448491856935045E-5</v>
      </c>
      <c r="X93" s="16">
        <f t="shared" si="16"/>
        <v>0.2381569377492431</v>
      </c>
    </row>
    <row r="94" spans="1:24" x14ac:dyDescent="0.3">
      <c r="A94" s="9">
        <v>15</v>
      </c>
      <c r="B94" s="9">
        <v>0.91157954485698101</v>
      </c>
      <c r="C94" s="9">
        <v>0.95476674892718205</v>
      </c>
      <c r="D94" s="9">
        <v>0.87034583843162105</v>
      </c>
      <c r="E94" s="9">
        <v>0.25</v>
      </c>
      <c r="F94" s="9">
        <v>2.5000000000000001E-2</v>
      </c>
      <c r="G94" s="9">
        <v>0.96180484194413696</v>
      </c>
      <c r="N94" s="9">
        <f t="shared" si="9"/>
        <v>-0.91506121018313635</v>
      </c>
      <c r="O94" s="9">
        <f t="shared" si="10"/>
        <v>2.1477574146933831</v>
      </c>
      <c r="P94" s="9">
        <f t="shared" si="11"/>
        <v>0.47478621411209643</v>
      </c>
      <c r="Q94" s="9">
        <f t="shared" si="14"/>
        <v>0.28596527460452764</v>
      </c>
      <c r="R94" s="9">
        <f t="shared" si="14"/>
        <v>0.89545902973817038</v>
      </c>
      <c r="S94" s="9">
        <f t="shared" si="14"/>
        <v>0.61651596165918721</v>
      </c>
      <c r="T94" s="9">
        <f t="shared" si="12"/>
        <v>0.96088547133007352</v>
      </c>
      <c r="U94" s="14">
        <f t="shared" si="15"/>
        <v>8.4524232600338981E-7</v>
      </c>
      <c r="W94" s="14">
        <f t="shared" si="13"/>
        <v>3.4963546973734702E-2</v>
      </c>
      <c r="X94" s="16">
        <f t="shared" si="16"/>
        <v>9.5588062564239004E-2</v>
      </c>
    </row>
    <row r="95" spans="1:24" x14ac:dyDescent="0.3">
      <c r="A95" s="9">
        <v>16</v>
      </c>
      <c r="B95" s="9">
        <v>0.85026083486688397</v>
      </c>
      <c r="C95" s="9">
        <v>0.92209589244659595</v>
      </c>
      <c r="D95" s="9">
        <v>0.78402202333896698</v>
      </c>
      <c r="E95" s="9">
        <v>0.16</v>
      </c>
      <c r="F95" s="9">
        <v>2.5000000000000001E-2</v>
      </c>
      <c r="G95" s="9">
        <v>0.80475313345413901</v>
      </c>
      <c r="N95" s="9">
        <f t="shared" si="9"/>
        <v>-0.94064602511497286</v>
      </c>
      <c r="O95" s="9">
        <f t="shared" si="10"/>
        <v>1.8627123003664836</v>
      </c>
      <c r="P95" s="9">
        <f t="shared" si="11"/>
        <v>0.27171133638512701</v>
      </c>
      <c r="Q95" s="9">
        <f t="shared" si="14"/>
        <v>0.28076986699335038</v>
      </c>
      <c r="R95" s="9">
        <f t="shared" si="14"/>
        <v>0.86561277561911365</v>
      </c>
      <c r="S95" s="9">
        <f t="shared" si="14"/>
        <v>0.56751298721730126</v>
      </c>
      <c r="T95" s="9">
        <f t="shared" si="12"/>
        <v>0.80577503511012261</v>
      </c>
      <c r="U95" s="14">
        <f t="shared" si="15"/>
        <v>1.0442829945020087E-6</v>
      </c>
      <c r="W95" s="14">
        <f t="shared" si="13"/>
        <v>0.11836154519300199</v>
      </c>
      <c r="X95" s="16">
        <f t="shared" si="16"/>
        <v>0.12698324660103089</v>
      </c>
    </row>
    <row r="96" spans="1:24" x14ac:dyDescent="0.3">
      <c r="A96" s="9">
        <v>17</v>
      </c>
      <c r="B96" s="9">
        <v>0.758040166935394</v>
      </c>
      <c r="C96" s="9">
        <v>0.87065502177119103</v>
      </c>
      <c r="D96" s="9">
        <v>0.65999147804657299</v>
      </c>
      <c r="E96" s="9">
        <v>0.09</v>
      </c>
      <c r="F96" s="9">
        <v>2.5000000000000001E-2</v>
      </c>
      <c r="G96" s="9">
        <v>0.67627991892648298</v>
      </c>
      <c r="N96" s="9">
        <f t="shared" si="9"/>
        <v>-1.0338761703615531</v>
      </c>
      <c r="O96" s="9">
        <f t="shared" si="10"/>
        <v>1.511962168466477</v>
      </c>
      <c r="P96" s="9">
        <f t="shared" si="11"/>
        <v>-4.0046606591996103E-2</v>
      </c>
      <c r="Q96" s="9">
        <f t="shared" si="14"/>
        <v>0.26233331809833771</v>
      </c>
      <c r="R96" s="9">
        <f t="shared" si="14"/>
        <v>0.81935181807825597</v>
      </c>
      <c r="S96" s="9">
        <f t="shared" si="14"/>
        <v>0.48998968613688182</v>
      </c>
      <c r="T96" s="9">
        <f t="shared" si="12"/>
        <v>0.67674143163632483</v>
      </c>
      <c r="U96" s="14">
        <f t="shared" si="15"/>
        <v>2.1299398134556691E-7</v>
      </c>
      <c r="W96" s="14">
        <f t="shared" si="13"/>
        <v>0.22326602345295116</v>
      </c>
      <c r="X96" s="16">
        <f t="shared" si="16"/>
        <v>6.8242852837394286E-2</v>
      </c>
    </row>
    <row r="97" spans="1:24" x14ac:dyDescent="0.3">
      <c r="A97" s="9">
        <v>18</v>
      </c>
      <c r="B97" s="9">
        <v>0.62081341767015497</v>
      </c>
      <c r="C97" s="9">
        <v>0.78791713883514103</v>
      </c>
      <c r="D97" s="9">
        <v>0.48914953180113402</v>
      </c>
      <c r="E97" s="9">
        <v>0.04</v>
      </c>
      <c r="F97" s="9">
        <v>2.5000000000000001E-2</v>
      </c>
      <c r="G97" s="9">
        <v>0.58428847073215495</v>
      </c>
      <c r="N97" s="9">
        <f t="shared" si="9"/>
        <v>-1.237064504749156</v>
      </c>
      <c r="O97" s="9">
        <f t="shared" si="10"/>
        <v>1.0654245284914985</v>
      </c>
      <c r="P97" s="9">
        <f t="shared" si="11"/>
        <v>-0.46096980652217689</v>
      </c>
      <c r="Q97" s="9">
        <f t="shared" si="14"/>
        <v>0.22494736446346936</v>
      </c>
      <c r="R97" s="9">
        <f t="shared" si="14"/>
        <v>0.74372581429370055</v>
      </c>
      <c r="S97" s="9">
        <f t="shared" si="14"/>
        <v>0.38675578402769945</v>
      </c>
      <c r="T97" s="9">
        <f t="shared" si="12"/>
        <v>0.58416050024493738</v>
      </c>
      <c r="U97" s="14">
        <f t="shared" si="15"/>
        <v>1.6376445598704003E-8</v>
      </c>
      <c r="W97" s="14">
        <f t="shared" si="13"/>
        <v>0.3186622713189653</v>
      </c>
      <c r="X97" s="16">
        <f t="shared" si="16"/>
        <v>2.1901936051762369E-2</v>
      </c>
    </row>
    <row r="98" spans="1:24" x14ac:dyDescent="0.3">
      <c r="A98" s="9">
        <v>19</v>
      </c>
      <c r="B98" s="9">
        <v>0.41411550520763202</v>
      </c>
      <c r="C98" s="9">
        <v>0.64351806906071596</v>
      </c>
      <c r="D98" s="9">
        <v>0.26649081027931798</v>
      </c>
      <c r="E98" s="9">
        <v>0.01</v>
      </c>
      <c r="F98" s="9">
        <v>2.5000000000000001E-2</v>
      </c>
      <c r="G98" s="9">
        <v>0.55184051672439405</v>
      </c>
      <c r="N98" s="9">
        <f t="shared" si="9"/>
        <v>-1.6481555710221629</v>
      </c>
      <c r="O98" s="9">
        <f t="shared" si="10"/>
        <v>0.47154303748996806</v>
      </c>
      <c r="P98" s="9">
        <f t="shared" si="11"/>
        <v>-0.9268225925250152</v>
      </c>
      <c r="Q98" s="9">
        <f t="shared" si="14"/>
        <v>0.16135838526219828</v>
      </c>
      <c r="R98" s="9">
        <f t="shared" si="14"/>
        <v>0.61574890758650946</v>
      </c>
      <c r="S98" s="9">
        <f t="shared" si="14"/>
        <v>0.28356978598558341</v>
      </c>
      <c r="T98" s="9">
        <f t="shared" si="12"/>
        <v>0.54917075988069974</v>
      </c>
      <c r="U98" s="14">
        <f t="shared" si="15"/>
        <v>7.1276016044525736E-6</v>
      </c>
      <c r="W98" s="14">
        <f t="shared" si="13"/>
        <v>0.3563489973000159</v>
      </c>
      <c r="X98" s="16">
        <f t="shared" si="16"/>
        <v>0.48379137862899291</v>
      </c>
    </row>
    <row r="99" spans="1:24" x14ac:dyDescent="0.3">
      <c r="A99" s="9">
        <v>20</v>
      </c>
      <c r="B99" s="9">
        <v>0.60462132125511903</v>
      </c>
      <c r="C99" s="9">
        <v>0.77757399728586496</v>
      </c>
      <c r="D99" s="9">
        <v>0.47013781761260398</v>
      </c>
      <c r="E99" s="9">
        <v>0.13</v>
      </c>
      <c r="F99" s="9">
        <v>2.5000000000000001E-2</v>
      </c>
      <c r="G99" s="9">
        <v>0.76130769983136404</v>
      </c>
      <c r="N99" s="9">
        <f t="shared" si="9"/>
        <v>-1.3259329263091761</v>
      </c>
      <c r="O99" s="9">
        <f t="shared" si="10"/>
        <v>1.1155607756642614</v>
      </c>
      <c r="P99" s="9">
        <f t="shared" si="11"/>
        <v>-0.55833893503502385</v>
      </c>
      <c r="Q99" s="9">
        <f t="shared" si="14"/>
        <v>0.20983290266762894</v>
      </c>
      <c r="R99" s="9">
        <f t="shared" si="14"/>
        <v>0.75316435779576874</v>
      </c>
      <c r="S99" s="9">
        <f t="shared" si="14"/>
        <v>0.36393188514398034</v>
      </c>
      <c r="T99" s="9">
        <f t="shared" si="12"/>
        <v>0.7538457669652604</v>
      </c>
      <c r="U99" s="14">
        <f t="shared" si="15"/>
        <v>5.5680442098237646E-5</v>
      </c>
      <c r="W99" s="14">
        <f t="shared" si="13"/>
        <v>0.15014273528075575</v>
      </c>
      <c r="X99" s="16">
        <f t="shared" si="16"/>
        <v>0.98014677478718748</v>
      </c>
    </row>
    <row r="100" spans="1:24" x14ac:dyDescent="0.3">
      <c r="A100" s="9">
        <v>21</v>
      </c>
      <c r="B100" s="9">
        <v>0.53604508929966299</v>
      </c>
      <c r="C100" s="9">
        <v>0.73215100170638503</v>
      </c>
      <c r="D100" s="9">
        <v>0.392465949090537</v>
      </c>
      <c r="E100" s="9">
        <v>3.6249999999999998E-2</v>
      </c>
      <c r="F100" s="9">
        <v>2.5000000000000001E-2</v>
      </c>
      <c r="G100" s="9">
        <v>0.58471321884333105</v>
      </c>
      <c r="N100" s="9">
        <f t="shared" si="9"/>
        <v>-1.3993601747197972</v>
      </c>
      <c r="O100" s="9">
        <f t="shared" si="10"/>
        <v>0.82757187401773824</v>
      </c>
      <c r="P100" s="9">
        <f t="shared" si="11"/>
        <v>-0.68758239249209352</v>
      </c>
      <c r="Q100" s="9">
        <f t="shared" si="14"/>
        <v>0.19791766168117805</v>
      </c>
      <c r="R100" s="9">
        <f t="shared" si="14"/>
        <v>0.69584127070589952</v>
      </c>
      <c r="S100" s="9">
        <f t="shared" si="14"/>
        <v>0.33457109769255122</v>
      </c>
      <c r="T100" s="9">
        <f t="shared" si="12"/>
        <v>0.58417115385475571</v>
      </c>
      <c r="U100" s="14">
        <f t="shared" si="15"/>
        <v>2.9383445183918506E-7</v>
      </c>
      <c r="W100" s="14">
        <f t="shared" si="13"/>
        <v>0.31818290959150192</v>
      </c>
      <c r="X100" s="16">
        <f t="shared" si="16"/>
        <v>9.2706128595424001E-2</v>
      </c>
    </row>
    <row r="101" spans="1:24" x14ac:dyDescent="0.3">
      <c r="A101" s="9">
        <v>22</v>
      </c>
      <c r="B101" s="9">
        <v>0.482056160699321</v>
      </c>
      <c r="C101" s="9">
        <v>0.69430264344831705</v>
      </c>
      <c r="D101" s="9">
        <v>0.33469286666408499</v>
      </c>
      <c r="E101" s="9">
        <v>1.8888888888889E-2</v>
      </c>
      <c r="F101" s="9">
        <v>2.5000000000000001E-2</v>
      </c>
      <c r="G101" s="9">
        <v>0.555972084958406</v>
      </c>
      <c r="N101" s="9">
        <f t="shared" si="9"/>
        <v>-1.501337042468333</v>
      </c>
      <c r="O101" s="9">
        <f t="shared" si="10"/>
        <v>0.66302289903046918</v>
      </c>
      <c r="P101" s="9">
        <f t="shared" si="11"/>
        <v>-0.80192299951673074</v>
      </c>
      <c r="Q101" s="9">
        <f t="shared" si="14"/>
        <v>0.1822261933334561</v>
      </c>
      <c r="R101" s="9">
        <f t="shared" si="14"/>
        <v>0.65993911351280787</v>
      </c>
      <c r="S101" s="9">
        <f t="shared" si="14"/>
        <v>0.30961432097522928</v>
      </c>
      <c r="T101" s="9">
        <f t="shared" si="12"/>
        <v>0.5573752305414309</v>
      </c>
      <c r="U101" s="14">
        <f t="shared" si="15"/>
        <v>1.9688175271622884E-6</v>
      </c>
      <c r="W101" s="14">
        <f t="shared" si="13"/>
        <v>0.35143338995383039</v>
      </c>
      <c r="X101" s="16">
        <f t="shared" si="16"/>
        <v>0.25237698456207103</v>
      </c>
    </row>
    <row r="102" spans="1:24" x14ac:dyDescent="0.3">
      <c r="A102" s="9">
        <v>23</v>
      </c>
      <c r="B102" s="9">
        <v>0.44329834371454502</v>
      </c>
      <c r="C102" s="9">
        <v>0.66580653625099295</v>
      </c>
      <c r="D102" s="9">
        <v>0.29515093475438398</v>
      </c>
      <c r="E102" s="9">
        <v>1.2812499999999999E-2</v>
      </c>
      <c r="F102" s="9">
        <v>2.5000000000000001E-2</v>
      </c>
      <c r="G102" s="9">
        <v>0.55014087324845895</v>
      </c>
      <c r="N102" s="9">
        <f t="shared" si="9"/>
        <v>-1.5830065122175208</v>
      </c>
      <c r="O102" s="9">
        <f t="shared" si="10"/>
        <v>0.55256794703058687</v>
      </c>
      <c r="P102" s="9">
        <f t="shared" si="11"/>
        <v>-0.87637337199179011</v>
      </c>
      <c r="Q102" s="9">
        <f t="shared" si="14"/>
        <v>0.1703701079151313</v>
      </c>
      <c r="R102" s="9">
        <f t="shared" si="14"/>
        <v>0.63473116887336756</v>
      </c>
      <c r="S102" s="9">
        <f t="shared" si="14"/>
        <v>0.29392986862541376</v>
      </c>
      <c r="T102" s="9">
        <f t="shared" si="12"/>
        <v>0.5508034395052458</v>
      </c>
      <c r="U102" s="14">
        <f t="shared" si="15"/>
        <v>4.3899404463253159E-7</v>
      </c>
      <c r="W102" s="14">
        <f t="shared" si="13"/>
        <v>0.35838108956491072</v>
      </c>
      <c r="X102" s="16">
        <f t="shared" si="16"/>
        <v>0.1204357445529432</v>
      </c>
    </row>
    <row r="103" spans="1:24" x14ac:dyDescent="0.3">
      <c r="A103" s="9">
        <v>24</v>
      </c>
      <c r="B103" s="9">
        <v>0.75641498946707797</v>
      </c>
      <c r="C103" s="9">
        <v>0.86972121364669397</v>
      </c>
      <c r="D103" s="9">
        <v>0.65787016265985798</v>
      </c>
      <c r="E103" s="9">
        <v>0.24222222222222201</v>
      </c>
      <c r="F103" s="9">
        <v>2.5000000000000001E-2</v>
      </c>
      <c r="G103" s="9">
        <v>0.95334425891679797</v>
      </c>
      <c r="N103" s="9">
        <f t="shared" si="9"/>
        <v>-1.1355469171202284</v>
      </c>
      <c r="O103" s="9">
        <f t="shared" si="10"/>
        <v>1.6683594809659825</v>
      </c>
      <c r="P103" s="9">
        <f t="shared" si="11"/>
        <v>-0.13155201806749464</v>
      </c>
      <c r="Q103" s="9">
        <f t="shared" si="14"/>
        <v>0.24313889025710692</v>
      </c>
      <c r="R103" s="9">
        <f t="shared" si="14"/>
        <v>0.84135697479853599</v>
      </c>
      <c r="S103" s="9">
        <f t="shared" si="14"/>
        <v>0.46715934334639397</v>
      </c>
      <c r="T103" s="9">
        <f t="shared" si="12"/>
        <v>0.94643506887815765</v>
      </c>
      <c r="U103" s="14">
        <f t="shared" si="15"/>
        <v>4.7736906990046664E-5</v>
      </c>
      <c r="W103" s="14">
        <f t="shared" si="13"/>
        <v>3.8199139766094181E-2</v>
      </c>
      <c r="X103" s="16">
        <f t="shared" si="16"/>
        <v>0.7247319081242104</v>
      </c>
    </row>
    <row r="104" spans="1:24" x14ac:dyDescent="0.3">
      <c r="A104" s="9">
        <v>25</v>
      </c>
      <c r="B104" s="9">
        <v>0.84330333318766404</v>
      </c>
      <c r="C104" s="9">
        <v>0.91831548674062102</v>
      </c>
      <c r="D104" s="9">
        <v>0.77441851088621805</v>
      </c>
      <c r="E104" s="9">
        <v>0.32624999999999998</v>
      </c>
      <c r="F104" s="9">
        <v>2.5000000000000001E-2</v>
      </c>
      <c r="G104" s="9">
        <v>1.08979103458432</v>
      </c>
      <c r="N104" s="9">
        <f t="shared" si="9"/>
        <v>-1.0588175694552044</v>
      </c>
      <c r="O104" s="9">
        <f t="shared" si="10"/>
        <v>2.0175147653878023</v>
      </c>
      <c r="P104" s="9">
        <f t="shared" si="11"/>
        <v>0.15036934105394772</v>
      </c>
      <c r="Q104" s="9">
        <f t="shared" si="14"/>
        <v>0.25753548354663186</v>
      </c>
      <c r="R104" s="9">
        <f t="shared" si="14"/>
        <v>0.8826237859365712</v>
      </c>
      <c r="S104" s="9">
        <f t="shared" si="14"/>
        <v>0.5375216618925357</v>
      </c>
      <c r="T104" s="9">
        <f t="shared" si="12"/>
        <v>1.086032030453608</v>
      </c>
      <c r="U104" s="14">
        <f t="shared" si="15"/>
        <v>1.4130112054710349E-5</v>
      </c>
      <c r="W104" s="14">
        <f t="shared" si="13"/>
        <v>3.4809087284517321E-3</v>
      </c>
      <c r="X104" s="16">
        <f t="shared" si="16"/>
        <v>0.34492889108285452</v>
      </c>
    </row>
    <row r="105" spans="1:24" x14ac:dyDescent="0.3">
      <c r="A105" s="9">
        <v>26</v>
      </c>
      <c r="B105" s="9">
        <v>0.82722243711388799</v>
      </c>
      <c r="C105" s="9">
        <v>0.90951769477778099</v>
      </c>
      <c r="D105" s="9">
        <v>0.75237344407228102</v>
      </c>
      <c r="E105" s="9">
        <v>0.17</v>
      </c>
      <c r="F105" s="9">
        <v>2.5000000000000001E-2</v>
      </c>
      <c r="G105" s="9">
        <v>0.82362963180791204</v>
      </c>
      <c r="N105" s="9">
        <f t="shared" si="9"/>
        <v>-0.98042823206261343</v>
      </c>
      <c r="O105" s="9">
        <f t="shared" si="10"/>
        <v>1.8032245166243304</v>
      </c>
      <c r="P105" s="9">
        <f t="shared" si="11"/>
        <v>0.17486015093541207</v>
      </c>
      <c r="Q105" s="9">
        <f t="shared" si="14"/>
        <v>0.27280682132163359</v>
      </c>
      <c r="R105" s="9">
        <f t="shared" si="14"/>
        <v>0.85854100026195446</v>
      </c>
      <c r="S105" s="9">
        <f t="shared" si="14"/>
        <v>0.54360399107871549</v>
      </c>
      <c r="T105" s="9">
        <f t="shared" si="12"/>
        <v>0.8226009226845733</v>
      </c>
      <c r="U105" s="14">
        <f t="shared" si="15"/>
        <v>1.0582424604403686E-6</v>
      </c>
      <c r="W105" s="14">
        <f t="shared" si="13"/>
        <v>0.1057294348361331</v>
      </c>
      <c r="X105" s="16">
        <f t="shared" si="16"/>
        <v>0.12489947952463439</v>
      </c>
    </row>
    <row r="106" spans="1:24" x14ac:dyDescent="0.3">
      <c r="A106" s="9">
        <v>27</v>
      </c>
      <c r="B106" s="9">
        <v>0.79294453563825096</v>
      </c>
      <c r="C106" s="9">
        <v>0.89047433182447799</v>
      </c>
      <c r="D106" s="9">
        <v>0.70609675554634299</v>
      </c>
      <c r="E106" s="9">
        <v>0.1153125</v>
      </c>
      <c r="F106" s="9">
        <v>2.5000000000000001E-2</v>
      </c>
      <c r="G106" s="9">
        <v>0.72348415853231796</v>
      </c>
      <c r="N106" s="9">
        <f t="shared" si="9"/>
        <v>-0.9960473569136179</v>
      </c>
      <c r="O106" s="9">
        <f t="shared" si="10"/>
        <v>1.6422582419376799</v>
      </c>
      <c r="P106" s="9">
        <f t="shared" si="11"/>
        <v>7.4180010513128614E-2</v>
      </c>
      <c r="Q106" s="9">
        <f t="shared" si="14"/>
        <v>0.26971926755667869</v>
      </c>
      <c r="R106" s="9">
        <f t="shared" si="14"/>
        <v>0.83784198260343989</v>
      </c>
      <c r="S106" s="9">
        <f t="shared" si="14"/>
        <v>0.51853650337985702</v>
      </c>
      <c r="T106" s="9">
        <f t="shared" si="12"/>
        <v>0.72410006408992278</v>
      </c>
      <c r="U106" s="14">
        <f t="shared" si="15"/>
        <v>3.7933965588850837E-7</v>
      </c>
      <c r="W106" s="14">
        <f t="shared" si="13"/>
        <v>0.1808852808741262</v>
      </c>
      <c r="X106" s="16">
        <f t="shared" si="16"/>
        <v>8.5130482864236884E-2</v>
      </c>
    </row>
    <row r="107" spans="1:24" x14ac:dyDescent="0.3">
      <c r="A107" s="9">
        <v>28</v>
      </c>
      <c r="B107" s="9">
        <v>0.723369663208</v>
      </c>
      <c r="C107" s="9">
        <v>0.85051141274412101</v>
      </c>
      <c r="D107" s="9">
        <v>0.61523415419127503</v>
      </c>
      <c r="E107" s="9">
        <v>0.1</v>
      </c>
      <c r="F107" s="9">
        <v>2.5000000000000001E-2</v>
      </c>
      <c r="G107" s="9">
        <v>0.697265259048645</v>
      </c>
      <c r="N107" s="9">
        <f t="shared" si="9"/>
        <v>-1.0965344268939514</v>
      </c>
      <c r="O107" s="9">
        <f t="shared" si="10"/>
        <v>1.4211594237321472</v>
      </c>
      <c r="P107" s="9">
        <f t="shared" si="11"/>
        <v>-0.16774302474025873</v>
      </c>
      <c r="Q107" s="9">
        <f t="shared" si="14"/>
        <v>0.25038980143078021</v>
      </c>
      <c r="R107" s="9">
        <f t="shared" si="14"/>
        <v>0.80552011312749294</v>
      </c>
      <c r="S107" s="9">
        <f t="shared" si="14"/>
        <v>0.45816229930702268</v>
      </c>
      <c r="T107" s="9">
        <f t="shared" si="12"/>
        <v>0.69446518976378935</v>
      </c>
      <c r="U107" s="14">
        <f t="shared" si="15"/>
        <v>7.8403879999920608E-6</v>
      </c>
      <c r="W107" s="14">
        <f t="shared" si="13"/>
        <v>0.2038748274698477</v>
      </c>
      <c r="X107" s="16">
        <f t="shared" si="16"/>
        <v>0.40157877486626753</v>
      </c>
    </row>
    <row r="108" spans="1:24" x14ac:dyDescent="0.3">
      <c r="A108" s="9">
        <v>29</v>
      </c>
      <c r="B108" s="9">
        <v>0.90058022766249901</v>
      </c>
      <c r="C108" s="9">
        <v>0.94898905560733404</v>
      </c>
      <c r="D108" s="9">
        <v>0.85464077974807295</v>
      </c>
      <c r="E108" s="9">
        <v>0.4</v>
      </c>
      <c r="F108" s="9">
        <v>2.5000000000000001E-2</v>
      </c>
      <c r="G108" s="9">
        <v>1.2061397766520201</v>
      </c>
      <c r="N108" s="9">
        <f t="shared" si="9"/>
        <v>-1.0273393696744626</v>
      </c>
      <c r="O108" s="9">
        <f t="shared" si="10"/>
        <v>2.2721987644069905</v>
      </c>
      <c r="P108" s="9">
        <f t="shared" si="11"/>
        <v>0.34371833925812489</v>
      </c>
      <c r="Q108" s="9">
        <f t="shared" si="14"/>
        <v>0.26360024789587233</v>
      </c>
      <c r="R108" s="9">
        <f t="shared" si="14"/>
        <v>0.90654823045124056</v>
      </c>
      <c r="S108" s="9">
        <f t="shared" si="14"/>
        <v>0.58509346829068332</v>
      </c>
      <c r="T108" s="9">
        <f t="shared" si="12"/>
        <v>1.2032069743464611</v>
      </c>
      <c r="U108" s="14">
        <f t="shared" si="15"/>
        <v>8.6013293634923896E-6</v>
      </c>
      <c r="W108" s="14">
        <f t="shared" si="13"/>
        <v>3.2889669350203068E-3</v>
      </c>
      <c r="X108" s="16">
        <f t="shared" si="16"/>
        <v>0.24315608873292047</v>
      </c>
    </row>
    <row r="109" spans="1:24" x14ac:dyDescent="0.3">
      <c r="A109" s="9">
        <v>30</v>
      </c>
      <c r="B109" s="9">
        <v>0.93966736106488902</v>
      </c>
      <c r="C109" s="9">
        <v>0.96936441087182901</v>
      </c>
      <c r="D109" s="9">
        <v>0.91088009787415303</v>
      </c>
      <c r="E109" s="9">
        <v>0.47222222222222199</v>
      </c>
      <c r="F109" s="9">
        <v>2.5000000000000001E-2</v>
      </c>
      <c r="G109" s="9">
        <v>1.3157947625331501</v>
      </c>
      <c r="N109" s="9">
        <f t="shared" si="9"/>
        <v>-1.0232396465151032</v>
      </c>
      <c r="O109" s="9">
        <f t="shared" si="10"/>
        <v>2.4715693643752417</v>
      </c>
      <c r="P109" s="9">
        <f t="shared" si="11"/>
        <v>0.47111517790501545</v>
      </c>
      <c r="Q109" s="9">
        <f t="shared" si="14"/>
        <v>0.26439683721900398</v>
      </c>
      <c r="R109" s="9">
        <f t="shared" si="14"/>
        <v>0.92212453698472796</v>
      </c>
      <c r="S109" s="9">
        <f t="shared" si="14"/>
        <v>0.61564767005935805</v>
      </c>
      <c r="T109" s="9">
        <f t="shared" si="12"/>
        <v>1.3134018488440722</v>
      </c>
      <c r="U109" s="14">
        <f t="shared" si="15"/>
        <v>5.7260359233764162E-6</v>
      </c>
      <c r="W109" s="14">
        <f t="shared" si="13"/>
        <v>2.7890503501756543E-2</v>
      </c>
      <c r="X109" s="16">
        <f t="shared" si="16"/>
        <v>0.18186070937621743</v>
      </c>
    </row>
    <row r="110" spans="1:24" x14ac:dyDescent="0.3">
      <c r="A110" s="9">
        <v>31</v>
      </c>
      <c r="B110" s="9">
        <v>0.93311773293603195</v>
      </c>
      <c r="C110" s="9">
        <v>0.96598019282800596</v>
      </c>
      <c r="D110" s="9">
        <v>0.90137324759278004</v>
      </c>
      <c r="E110" s="9">
        <v>0.3203125</v>
      </c>
      <c r="F110" s="9">
        <v>2.5000000000000001E-2</v>
      </c>
      <c r="G110" s="9">
        <v>1.07881228828413</v>
      </c>
      <c r="N110" s="9">
        <f t="shared" si="9"/>
        <v>-0.9327455837976717</v>
      </c>
      <c r="O110" s="9">
        <f t="shared" si="10"/>
        <v>2.289989385405705</v>
      </c>
      <c r="P110" s="9">
        <f t="shared" si="11"/>
        <v>0.52801042852094282</v>
      </c>
      <c r="Q110" s="9">
        <f t="shared" si="14"/>
        <v>0.28236802721199389</v>
      </c>
      <c r="R110" s="9">
        <f t="shared" si="14"/>
        <v>0.90804456375809584</v>
      </c>
      <c r="S110" s="9">
        <f t="shared" si="14"/>
        <v>0.62901895658620799</v>
      </c>
      <c r="T110" s="9">
        <f t="shared" si="12"/>
        <v>1.0763435339892249</v>
      </c>
      <c r="U110" s="14">
        <f t="shared" si="15"/>
        <v>6.0947477686124649E-6</v>
      </c>
      <c r="W110" s="14">
        <f t="shared" si="13"/>
        <v>4.8969166782363727E-3</v>
      </c>
      <c r="X110" s="16">
        <f t="shared" si="16"/>
        <v>0.22884002358109168</v>
      </c>
    </row>
    <row r="111" spans="1:24" x14ac:dyDescent="0.3">
      <c r="A111" s="9">
        <v>32</v>
      </c>
      <c r="B111" s="9">
        <v>0.67803485561868704</v>
      </c>
      <c r="C111" s="9">
        <v>0.82342871920931104</v>
      </c>
      <c r="D111" s="9">
        <v>0.55831337274136505</v>
      </c>
      <c r="E111" s="9">
        <v>6.0816326530612003E-2</v>
      </c>
      <c r="F111" s="9">
        <v>2.5000000000000001E-2</v>
      </c>
      <c r="G111" s="9">
        <v>0.62263422990705297</v>
      </c>
      <c r="N111" s="9">
        <f t="shared" si="9"/>
        <v>-1.1478690114427335</v>
      </c>
      <c r="O111" s="9">
        <f t="shared" si="10"/>
        <v>1.2491301443895508</v>
      </c>
      <c r="P111" s="9">
        <f t="shared" si="11"/>
        <v>-0.29668659080400384</v>
      </c>
      <c r="Q111" s="9">
        <f t="shared" si="14"/>
        <v>0.24087853203747095</v>
      </c>
      <c r="R111" s="9">
        <f t="shared" si="14"/>
        <v>0.77714924868466162</v>
      </c>
      <c r="S111" s="9">
        <f t="shared" si="14"/>
        <v>0.42636767270524761</v>
      </c>
      <c r="T111" s="9">
        <f t="shared" si="12"/>
        <v>0.62163998291585487</v>
      </c>
      <c r="U111" s="14">
        <f t="shared" si="15"/>
        <v>9.8852707950647469E-7</v>
      </c>
      <c r="W111" s="14">
        <f t="shared" si="13"/>
        <v>0.27684016915182413</v>
      </c>
      <c r="X111" s="16">
        <f t="shared" si="16"/>
        <v>0.15968395944863512</v>
      </c>
    </row>
    <row r="112" spans="1:24" x14ac:dyDescent="0.3">
      <c r="A112" s="9">
        <v>33</v>
      </c>
      <c r="B112" s="9">
        <v>0.89158042542455795</v>
      </c>
      <c r="C112" s="9">
        <v>0.94423536548074605</v>
      </c>
      <c r="D112" s="9">
        <v>0.84186176885623698</v>
      </c>
      <c r="E112" s="9">
        <v>0.24326530612244901</v>
      </c>
      <c r="F112" s="9">
        <v>2.5000000000000001E-2</v>
      </c>
      <c r="G112" s="9">
        <v>0.95089848682274103</v>
      </c>
      <c r="N112" s="9">
        <f t="shared" si="9"/>
        <v>-0.93743819495907887</v>
      </c>
      <c r="O112" s="9">
        <f t="shared" si="10"/>
        <v>2.0782183165674146</v>
      </c>
      <c r="P112" s="9">
        <f t="shared" si="11"/>
        <v>0.39410825111200309</v>
      </c>
      <c r="Q112" s="9">
        <f t="shared" si="14"/>
        <v>0.28141810559652741</v>
      </c>
      <c r="R112" s="9">
        <f t="shared" si="14"/>
        <v>0.88876801904955793</v>
      </c>
      <c r="S112" s="9">
        <f t="shared" si="14"/>
        <v>0.59727128468663115</v>
      </c>
      <c r="T112" s="9">
        <f t="shared" si="12"/>
        <v>0.94959605438090444</v>
      </c>
      <c r="U112" s="14">
        <f t="shared" si="15"/>
        <v>1.6963302655484155E-6</v>
      </c>
      <c r="W112" s="14">
        <f t="shared" si="13"/>
        <v>3.9161154323258264E-2</v>
      </c>
      <c r="X112" s="16">
        <f t="shared" si="16"/>
        <v>0.13696861020238182</v>
      </c>
    </row>
    <row r="113" spans="1:24" x14ac:dyDescent="0.3">
      <c r="A113" s="9">
        <v>34</v>
      </c>
      <c r="B113" s="9">
        <v>0.96611717808573405</v>
      </c>
      <c r="C113" s="9">
        <v>0.98291259941346498</v>
      </c>
      <c r="D113" s="9">
        <v>0.94960874685024999</v>
      </c>
      <c r="E113" s="9">
        <v>0.54734693877550999</v>
      </c>
      <c r="F113" s="9">
        <v>2.5000000000000001E-2</v>
      </c>
      <c r="G113" s="9">
        <v>1.4261139299407199</v>
      </c>
      <c r="N113" s="9">
        <f t="shared" si="9"/>
        <v>-1.0389584617275722</v>
      </c>
      <c r="O113" s="9">
        <f t="shared" si="10"/>
        <v>2.63539260460644</v>
      </c>
      <c r="P113" s="9">
        <f t="shared" si="11"/>
        <v>0.54602537967909981</v>
      </c>
      <c r="Q113" s="9">
        <f t="shared" si="14"/>
        <v>0.26135100941677131</v>
      </c>
      <c r="R113" s="9">
        <f t="shared" si="14"/>
        <v>0.93310494356125395</v>
      </c>
      <c r="S113" s="9">
        <f t="shared" si="14"/>
        <v>0.63321295804131517</v>
      </c>
      <c r="T113" s="9">
        <f t="shared" si="12"/>
        <v>1.4241147750957066</v>
      </c>
      <c r="U113" s="14">
        <f t="shared" si="15"/>
        <v>3.9966200943403118E-6</v>
      </c>
      <c r="W113" s="14">
        <f t="shared" si="13"/>
        <v>7.690841730396264E-2</v>
      </c>
      <c r="X113" s="16">
        <f t="shared" si="16"/>
        <v>0.14018198707984292</v>
      </c>
    </row>
    <row r="114" spans="1:24" x14ac:dyDescent="0.3">
      <c r="A114" s="9">
        <v>35</v>
      </c>
      <c r="B114" s="9">
        <v>0.98325960470347495</v>
      </c>
      <c r="C114" s="9">
        <v>0.99159447593432803</v>
      </c>
      <c r="D114" s="9">
        <v>0.97499479243333698</v>
      </c>
      <c r="E114" s="9">
        <v>0.6278125</v>
      </c>
      <c r="F114" s="9">
        <v>2.5000000000000001E-2</v>
      </c>
      <c r="G114" s="9">
        <v>1.53991649773878</v>
      </c>
      <c r="N114" s="9">
        <f t="shared" si="9"/>
        <v>-1.0704259399527376</v>
      </c>
      <c r="O114" s="9">
        <f t="shared" si="10"/>
        <v>2.7756985216039736</v>
      </c>
      <c r="P114" s="9">
        <f t="shared" si="11"/>
        <v>0.57816506909135246</v>
      </c>
      <c r="Q114" s="9">
        <f t="shared" si="14"/>
        <v>0.25532209061070321</v>
      </c>
      <c r="R114" s="9">
        <f t="shared" si="14"/>
        <v>0.94134840338591175</v>
      </c>
      <c r="S114" s="9">
        <f t="shared" si="14"/>
        <v>0.6406450795564862</v>
      </c>
      <c r="T114" s="9">
        <f t="shared" si="12"/>
        <v>1.5388018537673656</v>
      </c>
      <c r="U114" s="14">
        <f t="shared" si="15"/>
        <v>1.2424311830106333E-6</v>
      </c>
      <c r="W114" s="14">
        <f t="shared" si="13"/>
        <v>0.15297973299382298</v>
      </c>
      <c r="X114" s="16">
        <f t="shared" si="16"/>
        <v>7.2383403454097869E-2</v>
      </c>
    </row>
    <row r="115" spans="1:24" x14ac:dyDescent="0.3">
      <c r="A115" s="9">
        <v>36</v>
      </c>
      <c r="B115" s="9">
        <v>0.63822315837842403</v>
      </c>
      <c r="C115" s="9">
        <v>0.79888870212215701</v>
      </c>
      <c r="D115" s="9">
        <v>0.50986927066124299</v>
      </c>
      <c r="E115" s="9">
        <v>4.4691358024691E-2</v>
      </c>
      <c r="F115" s="9">
        <v>2.5000000000000001E-2</v>
      </c>
      <c r="G115" s="9">
        <v>0.59271297214235497</v>
      </c>
      <c r="N115" s="9">
        <f t="shared" si="9"/>
        <v>-1.208160198635021</v>
      </c>
      <c r="O115" s="9">
        <f t="shared" si="10"/>
        <v>1.1192291444142664</v>
      </c>
      <c r="P115" s="9">
        <f t="shared" si="11"/>
        <v>-0.41183540381437583</v>
      </c>
      <c r="Q115" s="9">
        <f t="shared" si="14"/>
        <v>0.23002674448134711</v>
      </c>
      <c r="R115" s="9">
        <f t="shared" si="14"/>
        <v>0.75384570265961315</v>
      </c>
      <c r="S115" s="9">
        <f t="shared" si="14"/>
        <v>0.39847210751011064</v>
      </c>
      <c r="T115" s="9">
        <f t="shared" si="12"/>
        <v>0.59224295639512425</v>
      </c>
      <c r="U115" s="14">
        <f t="shared" si="15"/>
        <v>2.2091480264484461E-7</v>
      </c>
      <c r="W115" s="14">
        <f t="shared" si="13"/>
        <v>0.30922195128508939</v>
      </c>
      <c r="X115" s="16">
        <f t="shared" si="16"/>
        <v>7.9299048497596558E-2</v>
      </c>
    </row>
    <row r="116" spans="1:24" x14ac:dyDescent="0.3">
      <c r="A116" s="9">
        <v>37</v>
      </c>
      <c r="B116" s="9">
        <v>0.86512518623928802</v>
      </c>
      <c r="C116" s="9">
        <v>0.93012105999127204</v>
      </c>
      <c r="D116" s="9">
        <v>0.80467115525003297</v>
      </c>
      <c r="E116" s="9">
        <v>0.178765432098765</v>
      </c>
      <c r="F116" s="9">
        <v>2.5000000000000001E-2</v>
      </c>
      <c r="G116" s="9">
        <v>0.83828531772360004</v>
      </c>
      <c r="N116" s="9">
        <f t="shared" si="9"/>
        <v>-0.93187668202671947</v>
      </c>
      <c r="O116" s="9">
        <f t="shared" si="10"/>
        <v>1.9281450519153689</v>
      </c>
      <c r="P116" s="9">
        <f t="shared" si="11"/>
        <v>0.32121226391144742</v>
      </c>
      <c r="Q116" s="9">
        <f t="shared" si="14"/>
        <v>0.28254413156353719</v>
      </c>
      <c r="R116" s="9">
        <f t="shared" si="14"/>
        <v>0.87304396299835152</v>
      </c>
      <c r="S116" s="9">
        <f t="shared" si="14"/>
        <v>0.5796196617102426</v>
      </c>
      <c r="T116" s="9">
        <f t="shared" si="12"/>
        <v>0.83896279147524411</v>
      </c>
      <c r="U116" s="14">
        <f t="shared" si="15"/>
        <v>4.5897068416668336E-7</v>
      </c>
      <c r="W116" s="14">
        <f t="shared" si="13"/>
        <v>9.6413319855935417E-2</v>
      </c>
      <c r="X116" s="16">
        <f t="shared" si="16"/>
        <v>8.0816607105057447E-2</v>
      </c>
    </row>
    <row r="117" spans="1:24" x14ac:dyDescent="0.3">
      <c r="A117" s="9">
        <v>38</v>
      </c>
      <c r="B117" s="9">
        <v>0.95986863223136598</v>
      </c>
      <c r="C117" s="9">
        <v>0.97972885648600005</v>
      </c>
      <c r="D117" s="9">
        <v>0.94041099743281698</v>
      </c>
      <c r="E117" s="9">
        <v>0.40222222222222198</v>
      </c>
      <c r="F117" s="9">
        <v>2.5000000000000001E-2</v>
      </c>
      <c r="G117" s="9">
        <v>1.2089044150765</v>
      </c>
      <c r="N117" s="9">
        <f t="shared" si="9"/>
        <v>-0.95222843799864743</v>
      </c>
      <c r="O117" s="9">
        <f t="shared" si="10"/>
        <v>2.4617354552642308</v>
      </c>
      <c r="P117" s="9">
        <f t="shared" si="11"/>
        <v>0.59975665470308148</v>
      </c>
      <c r="Q117" s="9">
        <f t="shared" si="14"/>
        <v>0.27843688599617977</v>
      </c>
      <c r="R117" s="9">
        <f t="shared" si="14"/>
        <v>0.92141541742820543</v>
      </c>
      <c r="S117" s="9">
        <f t="shared" si="14"/>
        <v>0.64560063068373885</v>
      </c>
      <c r="T117" s="9">
        <f t="shared" si="12"/>
        <v>1.2056561751878045</v>
      </c>
      <c r="U117" s="14">
        <f t="shared" si="15"/>
        <v>1.0551062374512503E-5</v>
      </c>
      <c r="W117" s="14">
        <f t="shared" si="13"/>
        <v>3.6137115093259745E-3</v>
      </c>
      <c r="X117" s="16">
        <f t="shared" si="16"/>
        <v>0.26869286340475002</v>
      </c>
    </row>
    <row r="118" spans="1:24" x14ac:dyDescent="0.3">
      <c r="A118" s="9">
        <v>39</v>
      </c>
      <c r="B118" s="9">
        <v>0.993341005660478</v>
      </c>
      <c r="C118" s="9">
        <v>0.99666494152271501</v>
      </c>
      <c r="D118" s="9">
        <v>0.99002815531871602</v>
      </c>
      <c r="E118" s="9">
        <v>0.71506172839506199</v>
      </c>
      <c r="F118" s="9">
        <v>2.5000000000000001E-2</v>
      </c>
      <c r="G118" s="9">
        <v>1.65955781977418</v>
      </c>
      <c r="N118" s="9">
        <f t="shared" si="9"/>
        <v>-1.115138951650221</v>
      </c>
      <c r="O118" s="9">
        <f t="shared" si="10"/>
        <v>2.9006679297700222</v>
      </c>
      <c r="P118" s="9">
        <f t="shared" si="11"/>
        <v>0.5751320576835659</v>
      </c>
      <c r="Q118" s="9">
        <f t="shared" si="14"/>
        <v>0.24691407095632548</v>
      </c>
      <c r="R118" s="9">
        <f t="shared" si="14"/>
        <v>0.94787944519892142</v>
      </c>
      <c r="S118" s="9">
        <f t="shared" si="14"/>
        <v>0.63994652536724395</v>
      </c>
      <c r="T118" s="9">
        <f t="shared" si="12"/>
        <v>1.6586446802527055</v>
      </c>
      <c r="U118" s="14">
        <f t="shared" si="15"/>
        <v>8.3382378567874725E-7</v>
      </c>
      <c r="W118" s="14">
        <f t="shared" si="13"/>
        <v>0.26088349900261132</v>
      </c>
      <c r="X118" s="16">
        <f t="shared" si="16"/>
        <v>5.5023061600757643E-2</v>
      </c>
    </row>
    <row r="119" spans="1:24" x14ac:dyDescent="0.3">
      <c r="A119" s="9">
        <v>1</v>
      </c>
      <c r="B119" s="9">
        <v>1</v>
      </c>
      <c r="C119" s="9">
        <v>1</v>
      </c>
      <c r="D119" s="9">
        <v>1</v>
      </c>
      <c r="E119" s="9">
        <v>1</v>
      </c>
      <c r="F119" s="9">
        <v>0.05</v>
      </c>
      <c r="G119" s="9">
        <v>2.02171798588317</v>
      </c>
      <c r="N119" s="9">
        <f t="shared" si="9"/>
        <v>-1.3015546930885011</v>
      </c>
      <c r="O119" s="9">
        <f t="shared" si="10"/>
        <v>3.2180408286308895</v>
      </c>
      <c r="P119" s="9">
        <f t="shared" si="11"/>
        <v>0.40910694439240713</v>
      </c>
      <c r="Q119" s="9">
        <f t="shared" si="14"/>
        <v>0.2139034809320465</v>
      </c>
      <c r="R119" s="9">
        <f t="shared" si="14"/>
        <v>0.96150756959666883</v>
      </c>
      <c r="S119" s="9">
        <f t="shared" si="14"/>
        <v>0.60087372154745644</v>
      </c>
      <c r="T119" s="9">
        <f t="shared" si="12"/>
        <v>2.0163382571699322</v>
      </c>
      <c r="U119" s="14">
        <f t="shared" si="15"/>
        <v>2.8941481028034963E-5</v>
      </c>
      <c r="W119" s="14">
        <f t="shared" si="13"/>
        <v>0.76200281270986969</v>
      </c>
      <c r="X119" s="16">
        <f t="shared" si="16"/>
        <v>0.26609689139643711</v>
      </c>
    </row>
    <row r="120" spans="1:24" x14ac:dyDescent="0.3">
      <c r="A120" s="9">
        <v>2</v>
      </c>
      <c r="B120" s="9">
        <v>0.99805795702633604</v>
      </c>
      <c r="C120" s="9">
        <v>0.99902850661346798</v>
      </c>
      <c r="D120" s="9">
        <v>0.99708835032170995</v>
      </c>
      <c r="E120" s="9">
        <v>0.90500000000000003</v>
      </c>
      <c r="F120" s="9">
        <v>0.05</v>
      </c>
      <c r="G120" s="9">
        <v>1.9059595418014901</v>
      </c>
      <c r="N120" s="9">
        <f t="shared" si="9"/>
        <v>-1.2420095885302689</v>
      </c>
      <c r="O120" s="9">
        <f t="shared" si="10"/>
        <v>3.1111454782212471</v>
      </c>
      <c r="P120" s="9">
        <f t="shared" si="11"/>
        <v>0.45361148099172499</v>
      </c>
      <c r="Q120" s="9">
        <f t="shared" si="14"/>
        <v>0.2240863814784691</v>
      </c>
      <c r="R120" s="9">
        <f t="shared" si="14"/>
        <v>0.95735015112906308</v>
      </c>
      <c r="S120" s="9">
        <f t="shared" si="14"/>
        <v>0.61149755202121681</v>
      </c>
      <c r="T120" s="9">
        <f t="shared" si="12"/>
        <v>1.9038427462985648</v>
      </c>
      <c r="U120" s="14">
        <f t="shared" si="15"/>
        <v>4.4808232012048466E-6</v>
      </c>
      <c r="W120" s="14">
        <f t="shared" si="13"/>
        <v>0.57330531965080411</v>
      </c>
      <c r="X120" s="16">
        <f t="shared" si="16"/>
        <v>0.11106193266434961</v>
      </c>
    </row>
    <row r="121" spans="1:24" x14ac:dyDescent="0.3">
      <c r="A121" s="9">
        <v>3</v>
      </c>
      <c r="B121" s="9">
        <v>0.99152490614171696</v>
      </c>
      <c r="C121" s="9">
        <v>0.99575343641973801</v>
      </c>
      <c r="D121" s="9">
        <v>0.98731433258637302</v>
      </c>
      <c r="E121" s="9">
        <v>0.82</v>
      </c>
      <c r="F121" s="9">
        <v>0.05</v>
      </c>
      <c r="G121" s="9">
        <v>1.79857055756221</v>
      </c>
      <c r="N121" s="9">
        <f t="shared" si="9"/>
        <v>-1.1944419263569603</v>
      </c>
      <c r="O121" s="9">
        <f t="shared" si="10"/>
        <v>2.9999714548225214</v>
      </c>
      <c r="P121" s="9">
        <f t="shared" si="11"/>
        <v>0.47142803026832869</v>
      </c>
      <c r="Q121" s="9">
        <f t="shared" si="14"/>
        <v>0.23246544224623661</v>
      </c>
      <c r="R121" s="9">
        <f t="shared" si="14"/>
        <v>0.95257283723000341</v>
      </c>
      <c r="S121" s="9">
        <f t="shared" si="14"/>
        <v>0.61572169626375273</v>
      </c>
      <c r="T121" s="9">
        <f t="shared" si="12"/>
        <v>1.7978502744706217</v>
      </c>
      <c r="U121" s="14">
        <f t="shared" si="15"/>
        <v>5.1880773202789163E-7</v>
      </c>
      <c r="W121" s="14">
        <f t="shared" si="13"/>
        <v>0.42221443368149542</v>
      </c>
      <c r="X121" s="16">
        <f t="shared" si="16"/>
        <v>4.0047530443537337E-2</v>
      </c>
    </row>
    <row r="122" spans="1:24" x14ac:dyDescent="0.3">
      <c r="A122" s="9">
        <v>4</v>
      </c>
      <c r="B122" s="9">
        <v>0.97911342554320102</v>
      </c>
      <c r="C122" s="9">
        <v>0.98950160461881098</v>
      </c>
      <c r="D122" s="9">
        <v>0.96883430567881701</v>
      </c>
      <c r="E122" s="9">
        <v>0.745</v>
      </c>
      <c r="F122" s="9">
        <v>0.05</v>
      </c>
      <c r="G122" s="9">
        <v>1.7000548717769099</v>
      </c>
      <c r="N122" s="9">
        <f t="shared" si="9"/>
        <v>-1.1605530007111704</v>
      </c>
      <c r="O122" s="9">
        <f t="shared" si="10"/>
        <v>2.8804890226448414</v>
      </c>
      <c r="P122" s="9">
        <f t="shared" si="11"/>
        <v>0.45706500248153714</v>
      </c>
      <c r="Q122" s="9">
        <f t="shared" si="14"/>
        <v>0.238566816567543</v>
      </c>
      <c r="R122" s="9">
        <f t="shared" si="14"/>
        <v>0.94687346882388335</v>
      </c>
      <c r="S122" s="9">
        <f t="shared" si="14"/>
        <v>0.61231768262242725</v>
      </c>
      <c r="T122" s="9">
        <f t="shared" si="12"/>
        <v>1.7002044954904481</v>
      </c>
      <c r="U122" s="14">
        <f t="shared" si="15"/>
        <v>2.2387255652932938E-8</v>
      </c>
      <c r="W122" s="14">
        <f t="shared" si="13"/>
        <v>0.30389267099407863</v>
      </c>
      <c r="X122" s="16">
        <f t="shared" si="16"/>
        <v>8.8011108360118578E-3</v>
      </c>
    </row>
    <row r="123" spans="1:24" x14ac:dyDescent="0.3">
      <c r="A123" s="9">
        <v>5</v>
      </c>
      <c r="B123" s="9">
        <v>0.95913394700955001</v>
      </c>
      <c r="C123" s="9">
        <v>0.97935384157593897</v>
      </c>
      <c r="D123" s="9">
        <v>0.93933151558969596</v>
      </c>
      <c r="E123" s="9">
        <v>0.68</v>
      </c>
      <c r="F123" s="9">
        <v>0.05</v>
      </c>
      <c r="G123" s="9">
        <v>1.6122133325208801</v>
      </c>
      <c r="N123" s="9">
        <f t="shared" si="9"/>
        <v>-1.1427898154235905</v>
      </c>
      <c r="O123" s="9">
        <f t="shared" si="10"/>
        <v>2.7475833211209526</v>
      </c>
      <c r="P123" s="9">
        <f t="shared" si="11"/>
        <v>0.40384501403762674</v>
      </c>
      <c r="Q123" s="9">
        <f t="shared" si="14"/>
        <v>0.24180851581312421</v>
      </c>
      <c r="R123" s="9">
        <f t="shared" si="14"/>
        <v>0.93977671968938681</v>
      </c>
      <c r="S123" s="9">
        <f t="shared" si="14"/>
        <v>0.59961111450502169</v>
      </c>
      <c r="T123" s="9">
        <f t="shared" si="12"/>
        <v>1.6124382866770435</v>
      </c>
      <c r="U123" s="14">
        <f t="shared" si="15"/>
        <v>5.0604372375194085E-8</v>
      </c>
      <c r="W123" s="14">
        <f t="shared" si="13"/>
        <v>0.21476094313299157</v>
      </c>
      <c r="X123" s="16">
        <f t="shared" si="16"/>
        <v>1.3953125906214494E-2</v>
      </c>
    </row>
    <row r="124" spans="1:24" x14ac:dyDescent="0.3">
      <c r="A124" s="9">
        <v>6</v>
      </c>
      <c r="B124" s="9">
        <v>0.92929286340991601</v>
      </c>
      <c r="C124" s="9">
        <v>0.96399837313655001</v>
      </c>
      <c r="D124" s="9">
        <v>0.89583680849456504</v>
      </c>
      <c r="E124" s="9">
        <v>0.625</v>
      </c>
      <c r="F124" s="9">
        <v>0.05</v>
      </c>
      <c r="G124" s="9">
        <v>1.5355007963259899</v>
      </c>
      <c r="N124" s="9">
        <f t="shared" si="9"/>
        <v>-1.1448420895036389</v>
      </c>
      <c r="O124" s="9">
        <f t="shared" si="10"/>
        <v>2.5945975401330168</v>
      </c>
      <c r="P124" s="9">
        <f t="shared" si="11"/>
        <v>0.30361525987075499</v>
      </c>
      <c r="Q124" s="9">
        <f t="shared" si="14"/>
        <v>0.24143245711474884</v>
      </c>
      <c r="R124" s="9">
        <f t="shared" si="14"/>
        <v>0.93051307615997558</v>
      </c>
      <c r="S124" s="9">
        <f t="shared" si="14"/>
        <v>0.57532605838695638</v>
      </c>
      <c r="T124" s="9">
        <f t="shared" si="12"/>
        <v>1.5357306242915776</v>
      </c>
      <c r="U124" s="14">
        <f t="shared" si="15"/>
        <v>5.2820893766172352E-8</v>
      </c>
      <c r="W124" s="14">
        <f t="shared" si="13"/>
        <v>0.14954503806130498</v>
      </c>
      <c r="X124" s="16">
        <f t="shared" si="16"/>
        <v>1.4967622689456957E-2</v>
      </c>
    </row>
    <row r="125" spans="1:24" x14ac:dyDescent="0.3">
      <c r="A125" s="9">
        <v>7</v>
      </c>
      <c r="B125" s="9">
        <v>0.88629579591014296</v>
      </c>
      <c r="C125" s="9">
        <v>0.941432841954296</v>
      </c>
      <c r="D125" s="9">
        <v>0.83438796995583098</v>
      </c>
      <c r="E125" s="9">
        <v>0.57999999999999996</v>
      </c>
      <c r="F125" s="9">
        <v>0.05</v>
      </c>
      <c r="G125" s="9">
        <v>1.4716712861263599</v>
      </c>
      <c r="N125" s="9">
        <f t="shared" si="9"/>
        <v>-1.1726456447884086</v>
      </c>
      <c r="O125" s="9">
        <f t="shared" si="10"/>
        <v>2.4124339745419272</v>
      </c>
      <c r="P125" s="9">
        <f t="shared" si="11"/>
        <v>0.14624969096105878</v>
      </c>
      <c r="Q125" s="9">
        <f t="shared" si="14"/>
        <v>0.23637710451427096</v>
      </c>
      <c r="R125" s="9">
        <f t="shared" si="14"/>
        <v>0.91777055536581431</v>
      </c>
      <c r="S125" s="9">
        <f t="shared" si="14"/>
        <v>0.53649739244316763</v>
      </c>
      <c r="T125" s="9">
        <f t="shared" si="12"/>
        <v>1.4710684329267147</v>
      </c>
      <c r="U125" s="14">
        <f t="shared" si="15"/>
        <v>3.6343198032239276E-7</v>
      </c>
      <c r="W125" s="14">
        <f t="shared" si="13"/>
        <v>0.10425215632752786</v>
      </c>
      <c r="X125" s="16">
        <f t="shared" si="16"/>
        <v>4.0963848743148353E-2</v>
      </c>
    </row>
    <row r="126" spans="1:24" x14ac:dyDescent="0.3">
      <c r="A126" s="9">
        <v>8</v>
      </c>
      <c r="B126" s="9">
        <v>0.82493648944805298</v>
      </c>
      <c r="C126" s="9">
        <v>0.90826014414816902</v>
      </c>
      <c r="D126" s="9">
        <v>0.74925693481917399</v>
      </c>
      <c r="E126" s="9">
        <v>0.54500000000000004</v>
      </c>
      <c r="F126" s="9">
        <v>0.05</v>
      </c>
      <c r="G126" s="9">
        <v>1.4215805177126699</v>
      </c>
      <c r="N126" s="9">
        <f t="shared" si="9"/>
        <v>-1.2367135627169974</v>
      </c>
      <c r="O126" s="9">
        <f t="shared" si="10"/>
        <v>2.1874461610189773</v>
      </c>
      <c r="P126" s="9">
        <f t="shared" si="11"/>
        <v>-8.1412974934998494E-2</v>
      </c>
      <c r="Q126" s="9">
        <f t="shared" si="14"/>
        <v>0.22500855572575598</v>
      </c>
      <c r="R126" s="9">
        <f t="shared" si="14"/>
        <v>0.89911649385495684</v>
      </c>
      <c r="S126" s="9">
        <f t="shared" si="14"/>
        <v>0.47965799071793547</v>
      </c>
      <c r="T126" s="9">
        <f t="shared" si="12"/>
        <v>1.419966037447554</v>
      </c>
      <c r="U126" s="14">
        <f t="shared" si="15"/>
        <v>2.6065465264487161E-6</v>
      </c>
      <c r="W126" s="14">
        <f t="shared" si="13"/>
        <v>7.4414524107415045E-2</v>
      </c>
      <c r="X126" s="16">
        <f t="shared" si="16"/>
        <v>0.11356938597566106</v>
      </c>
    </row>
    <row r="127" spans="1:24" x14ac:dyDescent="0.3">
      <c r="A127" s="9">
        <v>9</v>
      </c>
      <c r="B127" s="9">
        <v>0.73549094564436901</v>
      </c>
      <c r="C127" s="9">
        <v>0.85760768749141303</v>
      </c>
      <c r="D127" s="9">
        <v>0.63076268906494104</v>
      </c>
      <c r="E127" s="9">
        <v>0.52</v>
      </c>
      <c r="F127" s="9">
        <v>0.05</v>
      </c>
      <c r="G127" s="9">
        <v>1.3867787168629</v>
      </c>
      <c r="N127" s="9">
        <f t="shared" si="9"/>
        <v>-1.3588765909347187</v>
      </c>
      <c r="O127" s="9">
        <f t="shared" si="10"/>
        <v>1.8952378993814067</v>
      </c>
      <c r="P127" s="9">
        <f t="shared" si="11"/>
        <v>-0.39837332719912594</v>
      </c>
      <c r="Q127" s="9">
        <f t="shared" si="14"/>
        <v>0.2044229463578249</v>
      </c>
      <c r="R127" s="9">
        <f t="shared" si="14"/>
        <v>0.86935159981661625</v>
      </c>
      <c r="S127" s="9">
        <f t="shared" si="14"/>
        <v>0.40170322817185672</v>
      </c>
      <c r="T127" s="9">
        <f t="shared" si="12"/>
        <v>1.386315784634685</v>
      </c>
      <c r="U127" s="14">
        <f t="shared" si="15"/>
        <v>2.1430624792013211E-7</v>
      </c>
      <c r="W127" s="14">
        <f t="shared" si="13"/>
        <v>5.6638505080430585E-2</v>
      </c>
      <c r="X127" s="16">
        <f t="shared" si="16"/>
        <v>3.3381838254790283E-2</v>
      </c>
    </row>
    <row r="128" spans="1:24" x14ac:dyDescent="0.3">
      <c r="A128" s="9">
        <v>10</v>
      </c>
      <c r="B128" s="9">
        <v>0.592782777626775</v>
      </c>
      <c r="C128" s="9">
        <v>0.769923877813109</v>
      </c>
      <c r="D128" s="9">
        <v>0.45639761485123198</v>
      </c>
      <c r="E128" s="9">
        <v>0.505</v>
      </c>
      <c r="F128" s="9">
        <v>0.05</v>
      </c>
      <c r="G128" s="9">
        <v>1.3765157381905999</v>
      </c>
      <c r="N128" s="9">
        <f t="shared" si="9"/>
        <v>-1.6013547330935054</v>
      </c>
      <c r="O128" s="9">
        <f t="shared" si="10"/>
        <v>1.4738350270872165</v>
      </c>
      <c r="P128" s="9">
        <f t="shared" si="11"/>
        <v>-0.83896033128354386</v>
      </c>
      <c r="Q128" s="9">
        <f t="shared" si="14"/>
        <v>0.16779235738812756</v>
      </c>
      <c r="R128" s="9">
        <f t="shared" si="14"/>
        <v>0.813639591554289</v>
      </c>
      <c r="S128" s="9">
        <f t="shared" si="14"/>
        <v>0.30175379541634367</v>
      </c>
      <c r="T128" s="9">
        <f t="shared" si="12"/>
        <v>1.378399735769106</v>
      </c>
      <c r="U128" s="14">
        <f t="shared" si="15"/>
        <v>3.549446875816858E-6</v>
      </c>
      <c r="W128" s="14">
        <f t="shared" si="13"/>
        <v>5.1858892919988735E-2</v>
      </c>
      <c r="X128" s="16">
        <f t="shared" si="16"/>
        <v>0.13686712953842262</v>
      </c>
    </row>
    <row r="129" spans="1:24" x14ac:dyDescent="0.3">
      <c r="A129" s="9">
        <v>11</v>
      </c>
      <c r="B129" s="9">
        <v>0.99798365800029598</v>
      </c>
      <c r="C129" s="9">
        <v>0.99899132028276205</v>
      </c>
      <c r="D129" s="9">
        <v>0.99697701212633705</v>
      </c>
      <c r="E129" s="9">
        <v>0.81</v>
      </c>
      <c r="F129" s="9">
        <v>0.05</v>
      </c>
      <c r="G129" s="9">
        <v>1.7865667444906701</v>
      </c>
      <c r="N129" s="9">
        <f t="shared" si="9"/>
        <v>-1.1802576744549167</v>
      </c>
      <c r="O129" s="9">
        <f t="shared" si="10"/>
        <v>3.0103132891853548</v>
      </c>
      <c r="P129" s="9">
        <f t="shared" si="11"/>
        <v>0.50672777544153391</v>
      </c>
      <c r="Q129" s="9">
        <f t="shared" si="14"/>
        <v>0.23500586884653743</v>
      </c>
      <c r="R129" s="9">
        <f t="shared" si="14"/>
        <v>0.95303787809615503</v>
      </c>
      <c r="S129" s="9">
        <f t="shared" si="14"/>
        <v>0.62403907592849994</v>
      </c>
      <c r="T129" s="9">
        <f t="shared" si="12"/>
        <v>1.7857494288788796</v>
      </c>
      <c r="U129" s="14">
        <f t="shared" si="15"/>
        <v>6.680048092765574E-7</v>
      </c>
      <c r="W129" s="14">
        <f t="shared" si="13"/>
        <v>0.40675884277694485</v>
      </c>
      <c r="X129" s="16">
        <f t="shared" si="16"/>
        <v>4.5747835299797611E-2</v>
      </c>
    </row>
    <row r="130" spans="1:24" x14ac:dyDescent="0.3">
      <c r="A130" s="9">
        <v>12</v>
      </c>
      <c r="B130" s="9">
        <v>0.99082969587065495</v>
      </c>
      <c r="C130" s="9">
        <v>0.99540428764932198</v>
      </c>
      <c r="D130" s="9">
        <v>0.986276127599925</v>
      </c>
      <c r="E130" s="9">
        <v>0.64</v>
      </c>
      <c r="F130" s="9">
        <v>0.05</v>
      </c>
      <c r="G130" s="9">
        <v>1.5605380842622201</v>
      </c>
      <c r="N130" s="9">
        <f t="shared" ref="N130:N193" si="17">B130*$I$1+C130*$J$1+D130*$K$1+E130*$L$1+F130*$M$1+$I$4</f>
        <v>-1.0781017314976016</v>
      </c>
      <c r="O130" s="9">
        <f t="shared" ref="O130:O193" si="18">$I$2*B130+$J$2*C130+$K$2*D130+$L$2*E130+$M$2*F130+$I$5</f>
        <v>2.8071281239856019</v>
      </c>
      <c r="P130" s="9">
        <f t="shared" ref="P130:P193" si="19">$I$3*B130+$J$3*C130+$K$3*D130+$L$3*E130+$M$3*F130+$I$6</f>
        <v>0.56953364782952243</v>
      </c>
      <c r="Q130" s="9">
        <f t="shared" si="14"/>
        <v>0.25386541441174376</v>
      </c>
      <c r="R130" s="9">
        <f t="shared" si="14"/>
        <v>0.94305980123728861</v>
      </c>
      <c r="S130" s="9">
        <f t="shared" si="14"/>
        <v>0.63865555985718736</v>
      </c>
      <c r="T130" s="9">
        <f t="shared" ref="T130:T193" si="20">$I$7*Q130+$J$7*R130+$K$7*S130+$I$8</f>
        <v>1.5590266829806678</v>
      </c>
      <c r="U130" s="14">
        <f t="shared" si="15"/>
        <v>2.2843338338777816E-6</v>
      </c>
      <c r="W130" s="14">
        <f t="shared" ref="W130:W193" si="21">(G130-$V$4)^2</f>
        <v>0.16953626988578327</v>
      </c>
      <c r="X130" s="16">
        <f t="shared" si="16"/>
        <v>9.6851291025479763E-2</v>
      </c>
    </row>
    <row r="131" spans="1:24" x14ac:dyDescent="0.3">
      <c r="A131" s="9">
        <v>13</v>
      </c>
      <c r="B131" s="9">
        <v>0.976358383123614</v>
      </c>
      <c r="C131" s="9">
        <v>0.98810848752736302</v>
      </c>
      <c r="D131" s="9">
        <v>0.96474800523293602</v>
      </c>
      <c r="E131" s="9">
        <v>0.49</v>
      </c>
      <c r="F131" s="9">
        <v>0.05</v>
      </c>
      <c r="G131" s="9">
        <v>1.34611328257387</v>
      </c>
      <c r="N131" s="9">
        <f t="shared" si="17"/>
        <v>-0.99790933837934759</v>
      </c>
      <c r="O131" s="9">
        <f t="shared" si="18"/>
        <v>2.6016143089953179</v>
      </c>
      <c r="P131" s="9">
        <f t="shared" si="19"/>
        <v>0.5880837635823547</v>
      </c>
      <c r="Q131" s="9">
        <f t="shared" ref="Q131:S194" si="22">1/(1+EXP(-N131))</f>
        <v>0.26935266890260678</v>
      </c>
      <c r="R131" s="9">
        <f t="shared" si="22"/>
        <v>0.93096540160268637</v>
      </c>
      <c r="S131" s="9">
        <f t="shared" si="22"/>
        <v>0.64292535139337559</v>
      </c>
      <c r="T131" s="9">
        <f t="shared" si="20"/>
        <v>1.3429252873781081</v>
      </c>
      <c r="U131" s="14">
        <f t="shared" ref="U131:U194" si="23">(G131-T131)^2</f>
        <v>1.0163313368200638E-5</v>
      </c>
      <c r="W131" s="14">
        <f t="shared" si="21"/>
        <v>3.8936374806911089E-2</v>
      </c>
      <c r="X131" s="16">
        <f t="shared" ref="X131:X194" si="24">100*ABS((T131-G131)/G131)</f>
        <v>0.2368296366310392</v>
      </c>
    </row>
    <row r="132" spans="1:24" x14ac:dyDescent="0.3">
      <c r="A132" s="9">
        <v>14</v>
      </c>
      <c r="B132" s="9">
        <v>0.95144310139704402</v>
      </c>
      <c r="C132" s="9">
        <v>0.97541944895365096</v>
      </c>
      <c r="D132" s="9">
        <v>0.92805610567545704</v>
      </c>
      <c r="E132" s="9">
        <v>0.36</v>
      </c>
      <c r="F132" s="9">
        <v>0.05</v>
      </c>
      <c r="G132" s="9">
        <v>1.1458214451142199</v>
      </c>
      <c r="N132" s="9">
        <f t="shared" si="17"/>
        <v>-0.94410628622808224</v>
      </c>
      <c r="O132" s="9">
        <f t="shared" si="18"/>
        <v>2.3842210427087362</v>
      </c>
      <c r="P132" s="9">
        <f t="shared" si="19"/>
        <v>0.54976859730930749</v>
      </c>
      <c r="Q132" s="9">
        <f t="shared" si="22"/>
        <v>0.28007163863804274</v>
      </c>
      <c r="R132" s="9">
        <f t="shared" si="22"/>
        <v>0.91561613830699595</v>
      </c>
      <c r="S132" s="9">
        <f t="shared" si="22"/>
        <v>0.63408190215167048</v>
      </c>
      <c r="T132" s="9">
        <f t="shared" si="20"/>
        <v>1.143193707915366</v>
      </c>
      <c r="U132" s="14">
        <f t="shared" si="23"/>
        <v>6.9050027862405232E-6</v>
      </c>
      <c r="W132" s="14">
        <f t="shared" si="21"/>
        <v>8.8138683072657531E-6</v>
      </c>
      <c r="X132" s="16">
        <f t="shared" si="24"/>
        <v>0.22933217126093791</v>
      </c>
    </row>
    <row r="133" spans="1:24" x14ac:dyDescent="0.3">
      <c r="A133" s="9">
        <v>15</v>
      </c>
      <c r="B133" s="9">
        <v>0.91157954485698101</v>
      </c>
      <c r="C133" s="9">
        <v>0.95476674892718205</v>
      </c>
      <c r="D133" s="9">
        <v>0.87034583843162105</v>
      </c>
      <c r="E133" s="9">
        <v>0.25</v>
      </c>
      <c r="F133" s="9">
        <v>0.05</v>
      </c>
      <c r="G133" s="9">
        <v>0.96420089563889</v>
      </c>
      <c r="N133" s="9">
        <f t="shared" si="17"/>
        <v>-0.92389046183664636</v>
      </c>
      <c r="O133" s="9">
        <f t="shared" si="18"/>
        <v>2.1418264628532482</v>
      </c>
      <c r="P133" s="9">
        <f t="shared" si="19"/>
        <v>0.43846042424053133</v>
      </c>
      <c r="Q133" s="9">
        <f t="shared" si="22"/>
        <v>0.28416584951776891</v>
      </c>
      <c r="R133" s="9">
        <f t="shared" si="22"/>
        <v>0.89490251690965383</v>
      </c>
      <c r="S133" s="9">
        <f t="shared" si="22"/>
        <v>0.6078921195801541</v>
      </c>
      <c r="T133" s="9">
        <f t="shared" si="20"/>
        <v>0.96394443462933788</v>
      </c>
      <c r="U133" s="14">
        <f t="shared" si="23"/>
        <v>6.5772249420493855E-8</v>
      </c>
      <c r="W133" s="14">
        <f t="shared" si="21"/>
        <v>3.4073233838216622E-2</v>
      </c>
      <c r="X133" s="16">
        <f t="shared" si="24"/>
        <v>2.6598296134353685E-2</v>
      </c>
    </row>
    <row r="134" spans="1:24" x14ac:dyDescent="0.3">
      <c r="A134" s="9">
        <v>16</v>
      </c>
      <c r="B134" s="9">
        <v>0.85026083486688397</v>
      </c>
      <c r="C134" s="9">
        <v>0.92209589244659595</v>
      </c>
      <c r="D134" s="9">
        <v>0.78402202333896698</v>
      </c>
      <c r="E134" s="9">
        <v>0.16</v>
      </c>
      <c r="F134" s="9">
        <v>0.05</v>
      </c>
      <c r="G134" s="9">
        <v>0.80516880370219901</v>
      </c>
      <c r="N134" s="9">
        <f t="shared" si="17"/>
        <v>-0.94947527676848287</v>
      </c>
      <c r="O134" s="9">
        <f t="shared" si="18"/>
        <v>1.8567813485263487</v>
      </c>
      <c r="P134" s="9">
        <f t="shared" si="19"/>
        <v>0.23538554651356192</v>
      </c>
      <c r="Q134" s="9">
        <f t="shared" si="22"/>
        <v>0.27899036030031987</v>
      </c>
      <c r="R134" s="9">
        <f t="shared" si="22"/>
        <v>0.86492134672562204</v>
      </c>
      <c r="S134" s="9">
        <f t="shared" si="22"/>
        <v>0.55857617833720985</v>
      </c>
      <c r="T134" s="9">
        <f t="shared" si="20"/>
        <v>0.80750534514816785</v>
      </c>
      <c r="U134" s="14">
        <f t="shared" si="23"/>
        <v>5.4594259287301702E-6</v>
      </c>
      <c r="W134" s="14">
        <f t="shared" si="21"/>
        <v>0.11807570597838334</v>
      </c>
      <c r="X134" s="16">
        <f t="shared" si="24"/>
        <v>0.29019274408364182</v>
      </c>
    </row>
    <row r="135" spans="1:24" x14ac:dyDescent="0.3">
      <c r="A135" s="9">
        <v>17</v>
      </c>
      <c r="B135" s="9">
        <v>0.758040166935394</v>
      </c>
      <c r="C135" s="9">
        <v>0.87065502177119103</v>
      </c>
      <c r="D135" s="9">
        <v>0.65999147804657299</v>
      </c>
      <c r="E135" s="9">
        <v>0.09</v>
      </c>
      <c r="F135" s="9">
        <v>0.05</v>
      </c>
      <c r="G135" s="9">
        <v>0.67413442579481397</v>
      </c>
      <c r="N135" s="9">
        <f t="shared" si="17"/>
        <v>-1.0427054220150629</v>
      </c>
      <c r="O135" s="9">
        <f t="shared" si="18"/>
        <v>1.5060312166263421</v>
      </c>
      <c r="P135" s="9">
        <f t="shared" si="19"/>
        <v>-7.6372396463561254E-2</v>
      </c>
      <c r="Q135" s="9">
        <f t="shared" si="22"/>
        <v>0.26062831833265521</v>
      </c>
      <c r="R135" s="9">
        <f t="shared" si="22"/>
        <v>0.81847228839959507</v>
      </c>
      <c r="S135" s="9">
        <f t="shared" si="22"/>
        <v>0.48091617590252583</v>
      </c>
      <c r="T135" s="9">
        <f t="shared" si="20"/>
        <v>0.67660131445694505</v>
      </c>
      <c r="U135" s="14">
        <f t="shared" si="23"/>
        <v>6.0855396713508335E-6</v>
      </c>
      <c r="W135" s="14">
        <f t="shared" si="21"/>
        <v>0.22529816198124464</v>
      </c>
      <c r="X135" s="16">
        <f t="shared" si="24"/>
        <v>0.36593423622040605</v>
      </c>
    </row>
    <row r="136" spans="1:24" x14ac:dyDescent="0.3">
      <c r="A136" s="9">
        <v>18</v>
      </c>
      <c r="B136" s="9">
        <v>0.62081341767015497</v>
      </c>
      <c r="C136" s="9">
        <v>0.78791713883514103</v>
      </c>
      <c r="D136" s="9">
        <v>0.48914953180113402</v>
      </c>
      <c r="E136" s="9">
        <v>0.04</v>
      </c>
      <c r="F136" s="9">
        <v>0.05</v>
      </c>
      <c r="G136" s="9">
        <v>0.57922560396304801</v>
      </c>
      <c r="N136" s="9">
        <f t="shared" si="17"/>
        <v>-1.2458937564026658</v>
      </c>
      <c r="O136" s="9">
        <f t="shared" si="18"/>
        <v>1.0594935766513636</v>
      </c>
      <c r="P136" s="9">
        <f t="shared" si="19"/>
        <v>-0.49729559639374199</v>
      </c>
      <c r="Q136" s="9">
        <f t="shared" si="22"/>
        <v>0.22341175854212744</v>
      </c>
      <c r="R136" s="9">
        <f t="shared" si="22"/>
        <v>0.7425937552489742</v>
      </c>
      <c r="S136" s="9">
        <f t="shared" si="22"/>
        <v>0.37817642384643707</v>
      </c>
      <c r="T136" s="9">
        <f t="shared" si="20"/>
        <v>0.58186738418128103</v>
      </c>
      <c r="U136" s="14">
        <f t="shared" si="23"/>
        <v>6.9790027214473304E-6</v>
      </c>
      <c r="W136" s="14">
        <f t="shared" si="21"/>
        <v>0.32440389864991098</v>
      </c>
      <c r="X136" s="16">
        <f t="shared" si="24"/>
        <v>0.45608830137307932</v>
      </c>
    </row>
    <row r="137" spans="1:24" x14ac:dyDescent="0.3">
      <c r="A137" s="9">
        <v>19</v>
      </c>
      <c r="B137" s="9">
        <v>0.41411550520763202</v>
      </c>
      <c r="C137" s="9">
        <v>0.64351806906071596</v>
      </c>
      <c r="D137" s="9">
        <v>0.26649081027931798</v>
      </c>
      <c r="E137" s="9">
        <v>0.01</v>
      </c>
      <c r="F137" s="9">
        <v>0.05</v>
      </c>
      <c r="G137" s="9">
        <v>0.54321759930970603</v>
      </c>
      <c r="N137" s="9">
        <f t="shared" si="17"/>
        <v>-1.6569848226756727</v>
      </c>
      <c r="O137" s="9">
        <f t="shared" si="18"/>
        <v>0.46561208564983314</v>
      </c>
      <c r="P137" s="9">
        <f t="shared" si="19"/>
        <v>-0.96314838239658029</v>
      </c>
      <c r="Q137" s="9">
        <f t="shared" si="22"/>
        <v>0.16016716396764066</v>
      </c>
      <c r="R137" s="9">
        <f t="shared" si="22"/>
        <v>0.61434467149656902</v>
      </c>
      <c r="S137" s="9">
        <f t="shared" si="22"/>
        <v>0.27624827928638973</v>
      </c>
      <c r="T137" s="9">
        <f t="shared" si="20"/>
        <v>0.54397911422239831</v>
      </c>
      <c r="U137" s="14">
        <f t="shared" si="23"/>
        <v>5.7990496225272133E-7</v>
      </c>
      <c r="W137" s="14">
        <f t="shared" si="21"/>
        <v>0.36671824869755071</v>
      </c>
      <c r="X137" s="16">
        <f t="shared" si="24"/>
        <v>0.14018597955220322</v>
      </c>
    </row>
    <row r="138" spans="1:24" x14ac:dyDescent="0.3">
      <c r="A138" s="9">
        <v>20</v>
      </c>
      <c r="B138" s="9">
        <v>0.60462132125511903</v>
      </c>
      <c r="C138" s="9">
        <v>0.77757399728586496</v>
      </c>
      <c r="D138" s="9">
        <v>0.47013781761260398</v>
      </c>
      <c r="E138" s="9">
        <v>0.13</v>
      </c>
      <c r="F138" s="9">
        <v>0.05</v>
      </c>
      <c r="G138" s="9">
        <v>0.75937753008814401</v>
      </c>
      <c r="N138" s="9">
        <f t="shared" si="17"/>
        <v>-1.3347621779626859</v>
      </c>
      <c r="O138" s="9">
        <f t="shared" si="18"/>
        <v>1.1096298238241264</v>
      </c>
      <c r="P138" s="9">
        <f t="shared" si="19"/>
        <v>-0.59466472490658895</v>
      </c>
      <c r="Q138" s="9">
        <f t="shared" si="22"/>
        <v>0.20837273613606638</v>
      </c>
      <c r="R138" s="9">
        <f t="shared" si="22"/>
        <v>0.7520600927169302</v>
      </c>
      <c r="S138" s="9">
        <f t="shared" si="22"/>
        <v>0.3555652670410856</v>
      </c>
      <c r="T138" s="9">
        <f t="shared" si="20"/>
        <v>0.75119820154726236</v>
      </c>
      <c r="U138" s="14">
        <f t="shared" si="23"/>
        <v>6.6901415379681283E-5</v>
      </c>
      <c r="W138" s="14">
        <f t="shared" si="21"/>
        <v>0.15164227506753303</v>
      </c>
      <c r="X138" s="16">
        <f t="shared" si="24"/>
        <v>1.0771096347731346</v>
      </c>
    </row>
    <row r="139" spans="1:24" x14ac:dyDescent="0.3">
      <c r="A139" s="9">
        <v>21</v>
      </c>
      <c r="B139" s="9">
        <v>0.53604508929966299</v>
      </c>
      <c r="C139" s="9">
        <v>0.73215100170638503</v>
      </c>
      <c r="D139" s="9">
        <v>0.392465949090537</v>
      </c>
      <c r="E139" s="9">
        <v>3.6249999999999998E-2</v>
      </c>
      <c r="F139" s="9">
        <v>0.05</v>
      </c>
      <c r="G139" s="9">
        <v>0.578949774052537</v>
      </c>
      <c r="N139" s="9">
        <f t="shared" si="17"/>
        <v>-1.408189426373307</v>
      </c>
      <c r="O139" s="9">
        <f t="shared" si="18"/>
        <v>0.82164092217760332</v>
      </c>
      <c r="P139" s="9">
        <f t="shared" si="19"/>
        <v>-0.72390818236365861</v>
      </c>
      <c r="Q139" s="9">
        <f t="shared" si="22"/>
        <v>0.19651978842885437</v>
      </c>
      <c r="R139" s="9">
        <f t="shared" si="22"/>
        <v>0.69458455127886021</v>
      </c>
      <c r="S139" s="9">
        <f t="shared" si="22"/>
        <v>0.32653295578262692</v>
      </c>
      <c r="T139" s="9">
        <f t="shared" si="20"/>
        <v>0.58071235813458777</v>
      </c>
      <c r="U139" s="14">
        <f t="shared" si="23"/>
        <v>3.1067026462987433E-6</v>
      </c>
      <c r="W139" s="14">
        <f t="shared" si="21"/>
        <v>0.32471818066886249</v>
      </c>
      <c r="X139" s="16">
        <f t="shared" si="24"/>
        <v>0.30444507642053598</v>
      </c>
    </row>
    <row r="140" spans="1:24" x14ac:dyDescent="0.3">
      <c r="A140" s="9">
        <v>22</v>
      </c>
      <c r="B140" s="9">
        <v>0.482056160699321</v>
      </c>
      <c r="C140" s="9">
        <v>0.69430264344831705</v>
      </c>
      <c r="D140" s="9">
        <v>0.33469286666408499</v>
      </c>
      <c r="E140" s="9">
        <v>1.8888888888889E-2</v>
      </c>
      <c r="F140" s="9">
        <v>0.05</v>
      </c>
      <c r="G140" s="9">
        <v>0.54875083433862903</v>
      </c>
      <c r="N140" s="9">
        <f t="shared" si="17"/>
        <v>-1.5101662941218428</v>
      </c>
      <c r="O140" s="9">
        <f t="shared" si="18"/>
        <v>0.65709194719033426</v>
      </c>
      <c r="P140" s="9">
        <f t="shared" si="19"/>
        <v>-0.83824878938829595</v>
      </c>
      <c r="Q140" s="9">
        <f t="shared" si="22"/>
        <v>0.18091414967980765</v>
      </c>
      <c r="R140" s="9">
        <f t="shared" si="22"/>
        <v>0.65860683250048657</v>
      </c>
      <c r="S140" s="9">
        <f t="shared" si="22"/>
        <v>0.30190373732990422</v>
      </c>
      <c r="T140" s="9">
        <f t="shared" si="20"/>
        <v>0.5531833187240377</v>
      </c>
      <c r="U140" s="14">
        <f t="shared" si="23"/>
        <v>1.9646917826891618E-5</v>
      </c>
      <c r="W140" s="14">
        <f t="shared" si="21"/>
        <v>0.3600473136579771</v>
      </c>
      <c r="X140" s="16">
        <f t="shared" si="24"/>
        <v>0.80774080111437585</v>
      </c>
    </row>
    <row r="141" spans="1:24" x14ac:dyDescent="0.3">
      <c r="A141" s="9">
        <v>23</v>
      </c>
      <c r="B141" s="9">
        <v>0.44329834371454502</v>
      </c>
      <c r="C141" s="9">
        <v>0.66580653625099295</v>
      </c>
      <c r="D141" s="9">
        <v>0.29515093475438398</v>
      </c>
      <c r="E141" s="9">
        <v>1.2812499999999999E-2</v>
      </c>
      <c r="F141" s="9">
        <v>0.05</v>
      </c>
      <c r="G141" s="9">
        <v>0.54210298767241305</v>
      </c>
      <c r="N141" s="9">
        <f t="shared" si="17"/>
        <v>-1.5918357638710305</v>
      </c>
      <c r="O141" s="9">
        <f t="shared" si="18"/>
        <v>0.54663699519045195</v>
      </c>
      <c r="P141" s="9">
        <f t="shared" si="19"/>
        <v>-0.9126991618633552</v>
      </c>
      <c r="Q141" s="9">
        <f t="shared" si="22"/>
        <v>0.16912577455717923</v>
      </c>
      <c r="R141" s="9">
        <f t="shared" si="22"/>
        <v>0.63335499680149843</v>
      </c>
      <c r="S141" s="9">
        <f t="shared" si="22"/>
        <v>0.28644782294385956</v>
      </c>
      <c r="T141" s="9">
        <f t="shared" si="20"/>
        <v>0.54605292492201196</v>
      </c>
      <c r="U141" s="14">
        <f t="shared" si="23"/>
        <v>1.5602004275769013E-5</v>
      </c>
      <c r="W141" s="14">
        <f t="shared" si="21"/>
        <v>0.36806944772874978</v>
      </c>
      <c r="X141" s="16">
        <f t="shared" si="24"/>
        <v>0.7286322598144056</v>
      </c>
    </row>
    <row r="142" spans="1:24" x14ac:dyDescent="0.3">
      <c r="A142" s="9">
        <v>24</v>
      </c>
      <c r="B142" s="9">
        <v>0.75641498946707797</v>
      </c>
      <c r="C142" s="9">
        <v>0.86972121364669397</v>
      </c>
      <c r="D142" s="9">
        <v>0.65787016265985798</v>
      </c>
      <c r="E142" s="9">
        <v>0.24222222222222201</v>
      </c>
      <c r="F142" s="9">
        <v>0.05</v>
      </c>
      <c r="G142" s="9">
        <v>0.95352652451791797</v>
      </c>
      <c r="N142" s="9">
        <f t="shared" si="17"/>
        <v>-1.1443761687737382</v>
      </c>
      <c r="O142" s="9">
        <f t="shared" si="18"/>
        <v>1.6624285291258476</v>
      </c>
      <c r="P142" s="9">
        <f t="shared" si="19"/>
        <v>-0.16787780793905976</v>
      </c>
      <c r="Q142" s="9">
        <f t="shared" si="22"/>
        <v>0.24151779743337909</v>
      </c>
      <c r="R142" s="9">
        <f t="shared" si="22"/>
        <v>0.84056373488997271</v>
      </c>
      <c r="S142" s="9">
        <f t="shared" si="22"/>
        <v>0.45812883961964745</v>
      </c>
      <c r="T142" s="9">
        <f t="shared" si="20"/>
        <v>0.94582427617100906</v>
      </c>
      <c r="U142" s="14">
        <f t="shared" si="23"/>
        <v>5.9324629597461083E-5</v>
      </c>
      <c r="W142" s="14">
        <f t="shared" si="21"/>
        <v>3.8127926820697766E-2</v>
      </c>
      <c r="X142" s="16">
        <f t="shared" si="24"/>
        <v>0.80776445634829097</v>
      </c>
    </row>
    <row r="143" spans="1:24" x14ac:dyDescent="0.3">
      <c r="A143" s="9">
        <v>25</v>
      </c>
      <c r="B143" s="9">
        <v>0.84330333318766404</v>
      </c>
      <c r="C143" s="9">
        <v>0.91831548674062102</v>
      </c>
      <c r="D143" s="9">
        <v>0.77441851088621805</v>
      </c>
      <c r="E143" s="9">
        <v>0.32624999999999998</v>
      </c>
      <c r="F143" s="9">
        <v>0.05</v>
      </c>
      <c r="G143" s="9">
        <v>1.0908990141350601</v>
      </c>
      <c r="N143" s="9">
        <f t="shared" si="17"/>
        <v>-1.0676468211087142</v>
      </c>
      <c r="O143" s="9">
        <f t="shared" si="18"/>
        <v>2.0115838135476674</v>
      </c>
      <c r="P143" s="9">
        <f t="shared" si="19"/>
        <v>0.11404355118238257</v>
      </c>
      <c r="Q143" s="9">
        <f t="shared" si="22"/>
        <v>0.25585085124863405</v>
      </c>
      <c r="R143" s="9">
        <f t="shared" si="22"/>
        <v>0.88200794930176485</v>
      </c>
      <c r="S143" s="9">
        <f t="shared" si="22"/>
        <v>0.52848002704429253</v>
      </c>
      <c r="T143" s="9">
        <f t="shared" si="20"/>
        <v>1.0868800483347267</v>
      </c>
      <c r="U143" s="14">
        <f t="shared" si="23"/>
        <v>1.6152086104249009E-5</v>
      </c>
      <c r="W143" s="14">
        <f t="shared" si="21"/>
        <v>3.3513964741776025E-3</v>
      </c>
      <c r="X143" s="16">
        <f t="shared" si="24"/>
        <v>0.36840860136993098</v>
      </c>
    </row>
    <row r="144" spans="1:24" x14ac:dyDescent="0.3">
      <c r="A144" s="9">
        <v>26</v>
      </c>
      <c r="B144" s="9">
        <v>0.82722243711388799</v>
      </c>
      <c r="C144" s="9">
        <v>0.90951769477778099</v>
      </c>
      <c r="D144" s="9">
        <v>0.75237344407228102</v>
      </c>
      <c r="E144" s="9">
        <v>0.17</v>
      </c>
      <c r="F144" s="9">
        <v>0.05</v>
      </c>
      <c r="G144" s="9">
        <v>0.82393411415350204</v>
      </c>
      <c r="N144" s="9">
        <f t="shared" si="17"/>
        <v>-0.98925748371612343</v>
      </c>
      <c r="O144" s="9">
        <f t="shared" si="18"/>
        <v>1.7972935647841954</v>
      </c>
      <c r="P144" s="9">
        <f t="shared" si="19"/>
        <v>0.13853436106384692</v>
      </c>
      <c r="Q144" s="9">
        <f t="shared" si="22"/>
        <v>0.27105876346424995</v>
      </c>
      <c r="R144" s="9">
        <f t="shared" si="22"/>
        <v>0.85781916307716155</v>
      </c>
      <c r="S144" s="9">
        <f t="shared" si="22"/>
        <v>0.53457830637387527</v>
      </c>
      <c r="T144" s="9">
        <f t="shared" si="20"/>
        <v>0.82370556013737917</v>
      </c>
      <c r="U144" s="14">
        <f t="shared" si="23"/>
        <v>5.2236938285894372E-8</v>
      </c>
      <c r="W144" s="14">
        <f t="shared" si="21"/>
        <v>0.10553151620343629</v>
      </c>
      <c r="X144" s="16">
        <f t="shared" si="24"/>
        <v>2.7739355877707022E-2</v>
      </c>
    </row>
    <row r="145" spans="1:24" x14ac:dyDescent="0.3">
      <c r="A145" s="9">
        <v>27</v>
      </c>
      <c r="B145" s="9">
        <v>0.79294453563825096</v>
      </c>
      <c r="C145" s="9">
        <v>0.89047433182447799</v>
      </c>
      <c r="D145" s="9">
        <v>0.70609675554634299</v>
      </c>
      <c r="E145" s="9">
        <v>0.1153125</v>
      </c>
      <c r="F145" s="9">
        <v>0.05</v>
      </c>
      <c r="G145" s="9">
        <v>0.72234420756088402</v>
      </c>
      <c r="N145" s="9">
        <f t="shared" si="17"/>
        <v>-1.0048766085671277</v>
      </c>
      <c r="O145" s="9">
        <f t="shared" si="18"/>
        <v>1.636327290097545</v>
      </c>
      <c r="P145" s="9">
        <f t="shared" si="19"/>
        <v>3.7854220641563463E-2</v>
      </c>
      <c r="Q145" s="9">
        <f t="shared" si="22"/>
        <v>0.26798370297002061</v>
      </c>
      <c r="R145" s="9">
        <f t="shared" si="22"/>
        <v>0.83703457144793658</v>
      </c>
      <c r="S145" s="9">
        <f t="shared" si="22"/>
        <v>0.50946242526181085</v>
      </c>
      <c r="T145" s="9">
        <f t="shared" si="20"/>
        <v>0.7246114927741355</v>
      </c>
      <c r="U145" s="14">
        <f t="shared" si="23"/>
        <v>5.1405822382288079E-6</v>
      </c>
      <c r="W145" s="14">
        <f t="shared" si="21"/>
        <v>0.18185623657188182</v>
      </c>
      <c r="X145" s="16">
        <f t="shared" si="24"/>
        <v>0.31387878375980161</v>
      </c>
    </row>
    <row r="146" spans="1:24" x14ac:dyDescent="0.3">
      <c r="A146" s="9">
        <v>28</v>
      </c>
      <c r="B146" s="9">
        <v>0.723369663208</v>
      </c>
      <c r="C146" s="9">
        <v>0.85051141274412101</v>
      </c>
      <c r="D146" s="9">
        <v>0.61523415419127503</v>
      </c>
      <c r="E146" s="9">
        <v>0.1</v>
      </c>
      <c r="F146" s="9">
        <v>0.05</v>
      </c>
      <c r="G146" s="9">
        <v>0.69520727875370003</v>
      </c>
      <c r="N146" s="9">
        <f t="shared" si="17"/>
        <v>-1.1053636785474612</v>
      </c>
      <c r="O146" s="9">
        <f t="shared" si="18"/>
        <v>1.4152284718920123</v>
      </c>
      <c r="P146" s="9">
        <f t="shared" si="19"/>
        <v>-0.20406881461182386</v>
      </c>
      <c r="Q146" s="9">
        <f t="shared" si="22"/>
        <v>0.24873625221139409</v>
      </c>
      <c r="R146" s="9">
        <f t="shared" si="22"/>
        <v>0.80458930134826712</v>
      </c>
      <c r="S146" s="9">
        <f t="shared" si="22"/>
        <v>0.44915910919197588</v>
      </c>
      <c r="T146" s="9">
        <f t="shared" si="20"/>
        <v>0.69365108819389987</v>
      </c>
      <c r="U146" s="14">
        <f t="shared" si="23"/>
        <v>2.4217290584111462E-6</v>
      </c>
      <c r="W146" s="14">
        <f t="shared" si="21"/>
        <v>0.20573752186650066</v>
      </c>
      <c r="X146" s="16">
        <f t="shared" si="24"/>
        <v>0.22384555043640375</v>
      </c>
    </row>
    <row r="147" spans="1:24" x14ac:dyDescent="0.3">
      <c r="A147" s="9">
        <v>29</v>
      </c>
      <c r="B147" s="9">
        <v>0.90058022766249901</v>
      </c>
      <c r="C147" s="9">
        <v>0.94898905560733404</v>
      </c>
      <c r="D147" s="9">
        <v>0.85464077974807295</v>
      </c>
      <c r="E147" s="9">
        <v>0.4</v>
      </c>
      <c r="F147" s="9">
        <v>0.05</v>
      </c>
      <c r="G147" s="9">
        <v>1.20798671854156</v>
      </c>
      <c r="N147" s="9">
        <f t="shared" si="17"/>
        <v>-1.0361686213279724</v>
      </c>
      <c r="O147" s="9">
        <f t="shared" si="18"/>
        <v>2.2662678125668556</v>
      </c>
      <c r="P147" s="9">
        <f t="shared" si="19"/>
        <v>0.3073925493865598</v>
      </c>
      <c r="Q147" s="9">
        <f t="shared" si="22"/>
        <v>0.26188993725048848</v>
      </c>
      <c r="R147" s="9">
        <f t="shared" si="22"/>
        <v>0.90604455589969046</v>
      </c>
      <c r="S147" s="9">
        <f t="shared" si="22"/>
        <v>0.5762486847579259</v>
      </c>
      <c r="T147" s="9">
        <f t="shared" si="20"/>
        <v>1.205155038230187</v>
      </c>
      <c r="U147" s="14">
        <f t="shared" si="23"/>
        <v>8.0184133858177255E-6</v>
      </c>
      <c r="W147" s="14">
        <f t="shared" si="21"/>
        <v>3.5042205746305434E-3</v>
      </c>
      <c r="X147" s="16">
        <f t="shared" si="24"/>
        <v>0.23441319907819991</v>
      </c>
    </row>
    <row r="148" spans="1:24" x14ac:dyDescent="0.3">
      <c r="A148" s="9">
        <v>30</v>
      </c>
      <c r="B148" s="9">
        <v>0.93966736106488902</v>
      </c>
      <c r="C148" s="9">
        <v>0.96936441087182901</v>
      </c>
      <c r="D148" s="9">
        <v>0.91088009787415303</v>
      </c>
      <c r="E148" s="9">
        <v>0.47222222222222199</v>
      </c>
      <c r="F148" s="9">
        <v>0.05</v>
      </c>
      <c r="G148" s="9">
        <v>1.3182647739264901</v>
      </c>
      <c r="N148" s="9">
        <f t="shared" si="17"/>
        <v>-1.032068898168613</v>
      </c>
      <c r="O148" s="9">
        <f t="shared" si="18"/>
        <v>2.4656384125351067</v>
      </c>
      <c r="P148" s="9">
        <f t="shared" si="19"/>
        <v>0.43478938803345035</v>
      </c>
      <c r="Q148" s="9">
        <f t="shared" si="22"/>
        <v>0.2626832017501613</v>
      </c>
      <c r="R148" s="9">
        <f t="shared" si="22"/>
        <v>0.92169756241983392</v>
      </c>
      <c r="S148" s="9">
        <f t="shared" si="22"/>
        <v>0.60701674826393182</v>
      </c>
      <c r="T148" s="9">
        <f t="shared" si="20"/>
        <v>1.316076826337178</v>
      </c>
      <c r="U148" s="14">
        <f t="shared" si="23"/>
        <v>4.7871146535764855E-6</v>
      </c>
      <c r="W148" s="14">
        <f t="shared" si="21"/>
        <v>2.8721610500639407E-2</v>
      </c>
      <c r="X148" s="16">
        <f t="shared" si="24"/>
        <v>0.16597178598614915</v>
      </c>
    </row>
    <row r="149" spans="1:24" x14ac:dyDescent="0.3">
      <c r="A149" s="9">
        <v>31</v>
      </c>
      <c r="B149" s="9">
        <v>0.93311773293603195</v>
      </c>
      <c r="C149" s="9">
        <v>0.96598019282800596</v>
      </c>
      <c r="D149" s="9">
        <v>0.90137324759278004</v>
      </c>
      <c r="E149" s="9">
        <v>0.3203125</v>
      </c>
      <c r="F149" s="9">
        <v>0.05</v>
      </c>
      <c r="G149" s="9">
        <v>1.08191501586766</v>
      </c>
      <c r="N149" s="9">
        <f t="shared" si="17"/>
        <v>-0.9415748354511817</v>
      </c>
      <c r="O149" s="9">
        <f t="shared" si="18"/>
        <v>2.28405843356557</v>
      </c>
      <c r="P149" s="9">
        <f t="shared" si="19"/>
        <v>0.49168463864937773</v>
      </c>
      <c r="Q149" s="9">
        <f t="shared" si="22"/>
        <v>0.2805823429512162</v>
      </c>
      <c r="R149" s="9">
        <f t="shared" si="22"/>
        <v>0.90754813149338454</v>
      </c>
      <c r="S149" s="9">
        <f t="shared" si="22"/>
        <v>0.62050320978161766</v>
      </c>
      <c r="T149" s="9">
        <f t="shared" si="20"/>
        <v>1.0796943197566478</v>
      </c>
      <c r="U149" s="14">
        <f t="shared" si="23"/>
        <v>4.9314912174650507E-6</v>
      </c>
      <c r="W149" s="14">
        <f t="shared" si="21"/>
        <v>4.4722984237557627E-3</v>
      </c>
      <c r="X149" s="16">
        <f t="shared" si="24"/>
        <v>0.20525605786433718</v>
      </c>
    </row>
    <row r="150" spans="1:24" x14ac:dyDescent="0.3">
      <c r="A150" s="9">
        <v>32</v>
      </c>
      <c r="B150" s="9">
        <v>0.67803485561868704</v>
      </c>
      <c r="C150" s="9">
        <v>0.82342871920931104</v>
      </c>
      <c r="D150" s="9">
        <v>0.55831337274136505</v>
      </c>
      <c r="E150" s="9">
        <v>6.0816326530612003E-2</v>
      </c>
      <c r="F150" s="9">
        <v>0.05</v>
      </c>
      <c r="G150" s="9">
        <v>0.61889006928997103</v>
      </c>
      <c r="N150" s="9">
        <f t="shared" si="17"/>
        <v>-1.1566982630962432</v>
      </c>
      <c r="O150" s="9">
        <f t="shared" si="18"/>
        <v>1.2431991925494159</v>
      </c>
      <c r="P150" s="9">
        <f t="shared" si="19"/>
        <v>-0.33301238067556893</v>
      </c>
      <c r="Q150" s="9">
        <f t="shared" si="22"/>
        <v>0.23926774552451827</v>
      </c>
      <c r="R150" s="9">
        <f t="shared" si="22"/>
        <v>0.77612038907280423</v>
      </c>
      <c r="S150" s="9">
        <f t="shared" si="22"/>
        <v>0.41750784556637738</v>
      </c>
      <c r="T150" s="9">
        <f t="shared" si="20"/>
        <v>0.62016236739426789</v>
      </c>
      <c r="U150" s="14">
        <f t="shared" si="23"/>
        <v>1.6187424661973684E-6</v>
      </c>
      <c r="W150" s="14">
        <f t="shared" si="21"/>
        <v>0.2807942132713529</v>
      </c>
      <c r="X150" s="16">
        <f t="shared" si="24"/>
        <v>0.2055773985445449</v>
      </c>
    </row>
    <row r="151" spans="1:24" x14ac:dyDescent="0.3">
      <c r="A151" s="9">
        <v>33</v>
      </c>
      <c r="B151" s="9">
        <v>0.89158042542455795</v>
      </c>
      <c r="C151" s="9">
        <v>0.94423536548074605</v>
      </c>
      <c r="D151" s="9">
        <v>0.84186176885623698</v>
      </c>
      <c r="E151" s="9">
        <v>0.24326530612244901</v>
      </c>
      <c r="F151" s="9">
        <v>0.05</v>
      </c>
      <c r="G151" s="9">
        <v>0.95285839002698303</v>
      </c>
      <c r="N151" s="9">
        <f t="shared" si="17"/>
        <v>-0.94626744661258888</v>
      </c>
      <c r="O151" s="9">
        <f t="shared" si="18"/>
        <v>2.0722873647272797</v>
      </c>
      <c r="P151" s="9">
        <f t="shared" si="19"/>
        <v>0.357782461240438</v>
      </c>
      <c r="Q151" s="9">
        <f t="shared" si="22"/>
        <v>0.27963608778072724</v>
      </c>
      <c r="R151" s="9">
        <f t="shared" si="22"/>
        <v>0.88818033520914597</v>
      </c>
      <c r="S151" s="9">
        <f t="shared" si="22"/>
        <v>0.58850352466405353</v>
      </c>
      <c r="T151" s="9">
        <f t="shared" si="20"/>
        <v>0.95208919183378848</v>
      </c>
      <c r="U151" s="14">
        <f t="shared" si="23"/>
        <v>5.9166586041374862E-7</v>
      </c>
      <c r="W151" s="14">
        <f t="shared" si="21"/>
        <v>3.8389298098863107E-2</v>
      </c>
      <c r="X151" s="16">
        <f t="shared" si="24"/>
        <v>8.072534190235342E-2</v>
      </c>
    </row>
    <row r="152" spans="1:24" x14ac:dyDescent="0.3">
      <c r="A152" s="9">
        <v>34</v>
      </c>
      <c r="B152" s="9">
        <v>0.96611717808573405</v>
      </c>
      <c r="C152" s="9">
        <v>0.98291259941346498</v>
      </c>
      <c r="D152" s="9">
        <v>0.94960874685024999</v>
      </c>
      <c r="E152" s="9">
        <v>0.54734693877550999</v>
      </c>
      <c r="F152" s="9">
        <v>0.05</v>
      </c>
      <c r="G152" s="9">
        <v>1.42898713728447</v>
      </c>
      <c r="N152" s="9">
        <f t="shared" si="17"/>
        <v>-1.047787713381082</v>
      </c>
      <c r="O152" s="9">
        <f t="shared" si="18"/>
        <v>2.6294616527663051</v>
      </c>
      <c r="P152" s="9">
        <f t="shared" si="19"/>
        <v>0.50969958980753471</v>
      </c>
      <c r="Q152" s="9">
        <f t="shared" si="22"/>
        <v>0.25965014680430498</v>
      </c>
      <c r="R152" s="9">
        <f t="shared" si="22"/>
        <v>0.9327337805802054</v>
      </c>
      <c r="S152" s="9">
        <f t="shared" si="22"/>
        <v>0.62473604866660604</v>
      </c>
      <c r="T152" s="9">
        <f t="shared" si="20"/>
        <v>1.4271492891546771</v>
      </c>
      <c r="U152" s="14">
        <f t="shared" si="23"/>
        <v>3.3776857481833685E-6</v>
      </c>
      <c r="W152" s="14">
        <f t="shared" si="21"/>
        <v>7.8510289428269112E-2</v>
      </c>
      <c r="X152" s="16">
        <f t="shared" si="24"/>
        <v>0.12861194351164179</v>
      </c>
    </row>
    <row r="153" spans="1:24" x14ac:dyDescent="0.3">
      <c r="A153" s="9">
        <v>35</v>
      </c>
      <c r="B153" s="9">
        <v>0.98325960470347495</v>
      </c>
      <c r="C153" s="9">
        <v>0.99159447593432803</v>
      </c>
      <c r="D153" s="9">
        <v>0.97499479243333698</v>
      </c>
      <c r="E153" s="9">
        <v>0.6278125</v>
      </c>
      <c r="F153" s="9">
        <v>0.05</v>
      </c>
      <c r="G153" s="9">
        <v>1.5428901701250299</v>
      </c>
      <c r="N153" s="9">
        <f t="shared" si="17"/>
        <v>-1.0792551916062474</v>
      </c>
      <c r="O153" s="9">
        <f t="shared" si="18"/>
        <v>2.7697675697638386</v>
      </c>
      <c r="P153" s="9">
        <f t="shared" si="19"/>
        <v>0.54183927921978736</v>
      </c>
      <c r="Q153" s="9">
        <f t="shared" si="22"/>
        <v>0.25364699061118856</v>
      </c>
      <c r="R153" s="9">
        <f t="shared" si="22"/>
        <v>0.94102008768133805</v>
      </c>
      <c r="S153" s="9">
        <f t="shared" si="22"/>
        <v>0.63224017713295955</v>
      </c>
      <c r="T153" s="9">
        <f t="shared" si="20"/>
        <v>1.5418608699689731</v>
      </c>
      <c r="U153" s="14">
        <f t="shared" si="23"/>
        <v>1.0594588112586453E-6</v>
      </c>
      <c r="W153" s="14">
        <f t="shared" si="21"/>
        <v>0.15531473830019513</v>
      </c>
      <c r="X153" s="16">
        <f t="shared" si="24"/>
        <v>6.671247091900484E-2</v>
      </c>
    </row>
    <row r="154" spans="1:24" x14ac:dyDescent="0.3">
      <c r="A154" s="9">
        <v>36</v>
      </c>
      <c r="B154" s="9">
        <v>0.63822315837842403</v>
      </c>
      <c r="C154" s="9">
        <v>0.79888870212215701</v>
      </c>
      <c r="D154" s="9">
        <v>0.50986927066124299</v>
      </c>
      <c r="E154" s="9">
        <v>4.4691358024691E-2</v>
      </c>
      <c r="F154" s="9">
        <v>0.05</v>
      </c>
      <c r="G154" s="9">
        <v>0.58790949235558299</v>
      </c>
      <c r="N154" s="9">
        <f t="shared" si="17"/>
        <v>-1.2169894502885308</v>
      </c>
      <c r="O154" s="9">
        <f t="shared" si="18"/>
        <v>1.1132981925741314</v>
      </c>
      <c r="P154" s="9">
        <f t="shared" si="19"/>
        <v>-0.44816119368594093</v>
      </c>
      <c r="Q154" s="9">
        <f t="shared" si="22"/>
        <v>0.22846668529571412</v>
      </c>
      <c r="R154" s="9">
        <f t="shared" si="22"/>
        <v>0.75274348503455535</v>
      </c>
      <c r="S154" s="9">
        <f t="shared" si="22"/>
        <v>0.38979804756662911</v>
      </c>
      <c r="T154" s="9">
        <f t="shared" si="20"/>
        <v>0.59019297570231688</v>
      </c>
      <c r="U154" s="14">
        <f t="shared" si="23"/>
        <v>5.214296194811027E-6</v>
      </c>
      <c r="W154" s="14">
        <f t="shared" si="21"/>
        <v>0.31458723673785222</v>
      </c>
      <c r="X154" s="16">
        <f t="shared" si="24"/>
        <v>0.38840729337174645</v>
      </c>
    </row>
    <row r="155" spans="1:24" x14ac:dyDescent="0.3">
      <c r="A155" s="9">
        <v>37</v>
      </c>
      <c r="B155" s="9">
        <v>0.86512518623928802</v>
      </c>
      <c r="C155" s="9">
        <v>0.93012105999127204</v>
      </c>
      <c r="D155" s="9">
        <v>0.80467115525003297</v>
      </c>
      <c r="E155" s="9">
        <v>0.178765432098765</v>
      </c>
      <c r="F155" s="9">
        <v>0.05</v>
      </c>
      <c r="G155" s="9">
        <v>0.839191100945608</v>
      </c>
      <c r="N155" s="9">
        <f t="shared" si="17"/>
        <v>-0.94070593368022948</v>
      </c>
      <c r="O155" s="9">
        <f t="shared" si="18"/>
        <v>1.922214100075234</v>
      </c>
      <c r="P155" s="9">
        <f t="shared" si="19"/>
        <v>0.28488647403988232</v>
      </c>
      <c r="Q155" s="9">
        <f t="shared" si="22"/>
        <v>0.28075776932747776</v>
      </c>
      <c r="R155" s="9">
        <f t="shared" si="22"/>
        <v>0.87238513122435435</v>
      </c>
      <c r="S155" s="9">
        <f t="shared" si="22"/>
        <v>0.57074379878954373</v>
      </c>
      <c r="T155" s="9">
        <f t="shared" si="20"/>
        <v>0.841012309043638</v>
      </c>
      <c r="U155" s="14">
        <f t="shared" si="23"/>
        <v>3.3167989363300194E-6</v>
      </c>
      <c r="W155" s="14">
        <f t="shared" si="21"/>
        <v>9.5851639963074234E-2</v>
      </c>
      <c r="X155" s="16">
        <f t="shared" si="24"/>
        <v>0.21701947220100856</v>
      </c>
    </row>
    <row r="156" spans="1:24" x14ac:dyDescent="0.3">
      <c r="A156" s="9">
        <v>38</v>
      </c>
      <c r="B156" s="9">
        <v>0.95986863223136598</v>
      </c>
      <c r="C156" s="9">
        <v>0.97972885648600005</v>
      </c>
      <c r="D156" s="9">
        <v>0.94041099743281698</v>
      </c>
      <c r="E156" s="9">
        <v>0.40222222222222198</v>
      </c>
      <c r="F156" s="9">
        <v>0.05</v>
      </c>
      <c r="G156" s="9">
        <v>1.21268074193983</v>
      </c>
      <c r="N156" s="9">
        <f t="shared" si="17"/>
        <v>-0.96105768965215743</v>
      </c>
      <c r="O156" s="9">
        <f t="shared" si="18"/>
        <v>2.4558045034240958</v>
      </c>
      <c r="P156" s="9">
        <f t="shared" si="19"/>
        <v>0.56343086483151639</v>
      </c>
      <c r="Q156" s="9">
        <f t="shared" si="22"/>
        <v>0.27666647776968073</v>
      </c>
      <c r="R156" s="9">
        <f t="shared" si="22"/>
        <v>0.92098488806314771</v>
      </c>
      <c r="S156" s="9">
        <f t="shared" si="22"/>
        <v>0.63724600396396225</v>
      </c>
      <c r="T156" s="9">
        <f t="shared" si="20"/>
        <v>1.2093951186190877</v>
      </c>
      <c r="U156" s="14">
        <f t="shared" si="23"/>
        <v>1.0795320605805902E-5</v>
      </c>
      <c r="W156" s="14">
        <f t="shared" si="21"/>
        <v>4.0819935430241039E-3</v>
      </c>
      <c r="X156" s="16">
        <f t="shared" si="24"/>
        <v>0.27093885530717537</v>
      </c>
    </row>
    <row r="157" spans="1:24" x14ac:dyDescent="0.3">
      <c r="A157" s="9">
        <v>39</v>
      </c>
      <c r="B157" s="9">
        <v>0.993341005660478</v>
      </c>
      <c r="C157" s="9">
        <v>0.99666494152271501</v>
      </c>
      <c r="D157" s="9">
        <v>0.99002815531871602</v>
      </c>
      <c r="E157" s="9">
        <v>0.71506172839506199</v>
      </c>
      <c r="F157" s="9">
        <v>0.05</v>
      </c>
      <c r="G157" s="9">
        <v>1.6622061653778999</v>
      </c>
      <c r="N157" s="9">
        <f t="shared" si="17"/>
        <v>-1.1239682033037308</v>
      </c>
      <c r="O157" s="9">
        <f t="shared" si="18"/>
        <v>2.8947369779298873</v>
      </c>
      <c r="P157" s="9">
        <f t="shared" si="19"/>
        <v>0.53880626781200081</v>
      </c>
      <c r="Q157" s="9">
        <f t="shared" si="22"/>
        <v>0.24527596466131907</v>
      </c>
      <c r="R157" s="9">
        <f t="shared" si="22"/>
        <v>0.94758565288455487</v>
      </c>
      <c r="S157" s="9">
        <f t="shared" si="22"/>
        <v>0.63153468153662518</v>
      </c>
      <c r="T157" s="9">
        <f t="shared" si="20"/>
        <v>1.6614379148626055</v>
      </c>
      <c r="U157" s="14">
        <f t="shared" si="23"/>
        <v>5.9020885425009359E-7</v>
      </c>
      <c r="W157" s="14">
        <f t="shared" si="21"/>
        <v>0.26359589077416773</v>
      </c>
      <c r="X157" s="16">
        <f t="shared" si="24"/>
        <v>4.6218726130144522E-2</v>
      </c>
    </row>
    <row r="158" spans="1:24" x14ac:dyDescent="0.3">
      <c r="A158" s="9">
        <v>1</v>
      </c>
      <c r="B158" s="9">
        <v>1</v>
      </c>
      <c r="C158" s="9">
        <v>1</v>
      </c>
      <c r="D158" s="9">
        <v>1</v>
      </c>
      <c r="E158" s="9">
        <v>1</v>
      </c>
      <c r="F158" s="9">
        <v>0.1</v>
      </c>
      <c r="G158" s="9">
        <v>2.0206836332005</v>
      </c>
      <c r="N158" s="9">
        <f t="shared" si="17"/>
        <v>-1.3192131963955207</v>
      </c>
      <c r="O158" s="9">
        <f t="shared" si="18"/>
        <v>3.2061789249506196</v>
      </c>
      <c r="P158" s="9">
        <f t="shared" si="19"/>
        <v>0.33645536464927683</v>
      </c>
      <c r="Q158" s="9">
        <f t="shared" si="22"/>
        <v>0.21094922687833123</v>
      </c>
      <c r="R158" s="9">
        <f t="shared" si="22"/>
        <v>0.96106614012119174</v>
      </c>
      <c r="S158" s="9">
        <f t="shared" si="22"/>
        <v>0.58332923250105539</v>
      </c>
      <c r="T158" s="9">
        <f t="shared" si="20"/>
        <v>2.0178424457840958</v>
      </c>
      <c r="U158" s="14">
        <f t="shared" si="23"/>
        <v>8.0723459351339541E-6</v>
      </c>
      <c r="W158" s="14">
        <f t="shared" si="21"/>
        <v>0.76019805232751148</v>
      </c>
      <c r="X158" s="16">
        <f t="shared" si="24"/>
        <v>0.14060525703888618</v>
      </c>
    </row>
    <row r="159" spans="1:24" x14ac:dyDescent="0.3">
      <c r="A159" s="9">
        <v>2</v>
      </c>
      <c r="B159" s="9">
        <v>0.99805795702633604</v>
      </c>
      <c r="C159" s="9">
        <v>0.99902850661346798</v>
      </c>
      <c r="D159" s="9">
        <v>0.99708835032170995</v>
      </c>
      <c r="E159" s="9">
        <v>0.90500000000000003</v>
      </c>
      <c r="F159" s="9">
        <v>0.1</v>
      </c>
      <c r="G159" s="9">
        <v>1.9066740804503099</v>
      </c>
      <c r="N159" s="9">
        <f t="shared" si="17"/>
        <v>-1.2596680918372885</v>
      </c>
      <c r="O159" s="9">
        <f t="shared" si="18"/>
        <v>3.0992835745409772</v>
      </c>
      <c r="P159" s="9">
        <f t="shared" si="19"/>
        <v>0.38095990124859469</v>
      </c>
      <c r="Q159" s="9">
        <f t="shared" si="22"/>
        <v>0.22103103365346402</v>
      </c>
      <c r="R159" s="9">
        <f t="shared" si="22"/>
        <v>0.95686318353607858</v>
      </c>
      <c r="S159" s="9">
        <f t="shared" si="22"/>
        <v>0.59410459856583431</v>
      </c>
      <c r="T159" s="9">
        <f t="shared" si="20"/>
        <v>1.9065067564792271</v>
      </c>
      <c r="U159" s="14">
        <f t="shared" si="23"/>
        <v>2.7997311298943718E-8</v>
      </c>
      <c r="W159" s="14">
        <f t="shared" si="21"/>
        <v>0.57438788364581761</v>
      </c>
      <c r="X159" s="16">
        <f t="shared" si="24"/>
        <v>8.775698626131213E-3</v>
      </c>
    </row>
    <row r="160" spans="1:24" x14ac:dyDescent="0.3">
      <c r="A160" s="9">
        <v>3</v>
      </c>
      <c r="B160" s="9">
        <v>0.99152490614171696</v>
      </c>
      <c r="C160" s="9">
        <v>0.99575343641973801</v>
      </c>
      <c r="D160" s="9">
        <v>0.98731433258637302</v>
      </c>
      <c r="E160" s="9">
        <v>0.82</v>
      </c>
      <c r="F160" s="9">
        <v>0.1</v>
      </c>
      <c r="G160" s="9">
        <v>1.8001890291107501</v>
      </c>
      <c r="N160" s="9">
        <f t="shared" si="17"/>
        <v>-1.2121004296639799</v>
      </c>
      <c r="O160" s="9">
        <f t="shared" si="18"/>
        <v>2.9881095511422515</v>
      </c>
      <c r="P160" s="9">
        <f t="shared" si="19"/>
        <v>0.39877645052519839</v>
      </c>
      <c r="Q160" s="9">
        <f t="shared" si="22"/>
        <v>0.22932961514219033</v>
      </c>
      <c r="R160" s="9">
        <f t="shared" si="22"/>
        <v>0.95203405613586012</v>
      </c>
      <c r="S160" s="9">
        <f t="shared" si="22"/>
        <v>0.59839365373881892</v>
      </c>
      <c r="T160" s="9">
        <f t="shared" si="20"/>
        <v>1.8012771492015736</v>
      </c>
      <c r="U160" s="14">
        <f t="shared" si="23"/>
        <v>1.1840053320537104E-6</v>
      </c>
      <c r="W160" s="14">
        <f t="shared" si="21"/>
        <v>0.42432035497692827</v>
      </c>
      <c r="X160" s="16">
        <f t="shared" si="24"/>
        <v>6.0444768478618648E-2</v>
      </c>
    </row>
    <row r="161" spans="1:24" x14ac:dyDescent="0.3">
      <c r="A161" s="9">
        <v>4</v>
      </c>
      <c r="B161" s="9">
        <v>0.97911342554320102</v>
      </c>
      <c r="C161" s="9">
        <v>0.98950160461881098</v>
      </c>
      <c r="D161" s="9">
        <v>0.96883430567881701</v>
      </c>
      <c r="E161" s="9">
        <v>0.745</v>
      </c>
      <c r="F161" s="9">
        <v>0.1</v>
      </c>
      <c r="G161" s="9">
        <v>1.70173917073137</v>
      </c>
      <c r="N161" s="9">
        <f t="shared" si="17"/>
        <v>-1.17821150401819</v>
      </c>
      <c r="O161" s="9">
        <f t="shared" si="18"/>
        <v>2.8686271189645716</v>
      </c>
      <c r="P161" s="9">
        <f t="shared" si="19"/>
        <v>0.38441342273840684</v>
      </c>
      <c r="Q161" s="9">
        <f t="shared" si="22"/>
        <v>0.23537392494144208</v>
      </c>
      <c r="R161" s="9">
        <f t="shared" si="22"/>
        <v>0.94627359363434294</v>
      </c>
      <c r="S161" s="9">
        <f t="shared" si="22"/>
        <v>0.59493712428088452</v>
      </c>
      <c r="T161" s="9">
        <f t="shared" si="20"/>
        <v>1.7039024479144445</v>
      </c>
      <c r="U161" s="14">
        <f t="shared" si="23"/>
        <v>4.6797681708103454E-6</v>
      </c>
      <c r="W161" s="14">
        <f t="shared" si="21"/>
        <v>0.30575249667186299</v>
      </c>
      <c r="X161" s="16">
        <f t="shared" si="24"/>
        <v>0.12712154837128647</v>
      </c>
    </row>
    <row r="162" spans="1:24" x14ac:dyDescent="0.3">
      <c r="A162" s="9">
        <v>5</v>
      </c>
      <c r="B162" s="9">
        <v>0.95913394700955001</v>
      </c>
      <c r="C162" s="9">
        <v>0.97935384157593897</v>
      </c>
      <c r="D162" s="9">
        <v>0.93933151558969596</v>
      </c>
      <c r="E162" s="9">
        <v>0.68</v>
      </c>
      <c r="F162" s="9">
        <v>0.1</v>
      </c>
      <c r="G162" s="9">
        <v>1.61330344884</v>
      </c>
      <c r="N162" s="9">
        <f t="shared" si="17"/>
        <v>-1.1604483187306101</v>
      </c>
      <c r="O162" s="9">
        <f t="shared" si="18"/>
        <v>2.7357214174406828</v>
      </c>
      <c r="P162" s="9">
        <f t="shared" si="19"/>
        <v>0.33119343429449644</v>
      </c>
      <c r="Q162" s="9">
        <f t="shared" si="22"/>
        <v>0.23858583285137699</v>
      </c>
      <c r="R162" s="9">
        <f t="shared" si="22"/>
        <v>0.93910186568406118</v>
      </c>
      <c r="S162" s="9">
        <f t="shared" si="22"/>
        <v>0.58204972942425137</v>
      </c>
      <c r="T162" s="9">
        <f t="shared" si="20"/>
        <v>1.6158349608538081</v>
      </c>
      <c r="U162" s="14">
        <f t="shared" si="23"/>
        <v>6.4085530760546374E-6</v>
      </c>
      <c r="W162" s="14">
        <f t="shared" si="21"/>
        <v>0.21577250159222436</v>
      </c>
      <c r="X162" s="16">
        <f t="shared" si="24"/>
        <v>0.15691480828534093</v>
      </c>
    </row>
    <row r="163" spans="1:24" x14ac:dyDescent="0.3">
      <c r="A163" s="9">
        <v>6</v>
      </c>
      <c r="B163" s="9">
        <v>0.92929286340991601</v>
      </c>
      <c r="C163" s="9">
        <v>0.96399837313655001</v>
      </c>
      <c r="D163" s="9">
        <v>0.89583680849456504</v>
      </c>
      <c r="E163" s="9">
        <v>0.625</v>
      </c>
      <c r="F163" s="9">
        <v>0.1</v>
      </c>
      <c r="G163" s="9">
        <v>1.5353927090011601</v>
      </c>
      <c r="N163" s="9">
        <f t="shared" si="17"/>
        <v>-1.1625005928106584</v>
      </c>
      <c r="O163" s="9">
        <f t="shared" si="18"/>
        <v>2.582735636452747</v>
      </c>
      <c r="P163" s="9">
        <f t="shared" si="19"/>
        <v>0.23096368012762469</v>
      </c>
      <c r="Q163" s="9">
        <f t="shared" si="22"/>
        <v>0.23821321137770918</v>
      </c>
      <c r="R163" s="9">
        <f t="shared" si="22"/>
        <v>0.92974217564243522</v>
      </c>
      <c r="S163" s="9">
        <f t="shared" si="22"/>
        <v>0.55748560321067342</v>
      </c>
      <c r="T163" s="9">
        <f t="shared" si="20"/>
        <v>1.5382063936231161</v>
      </c>
      <c r="U163" s="14">
        <f t="shared" si="23"/>
        <v>7.9168211518315089E-6</v>
      </c>
      <c r="W163" s="14">
        <f t="shared" si="21"/>
        <v>0.14946145272970079</v>
      </c>
      <c r="X163" s="16">
        <f t="shared" si="24"/>
        <v>0.18325504644257393</v>
      </c>
    </row>
    <row r="164" spans="1:24" x14ac:dyDescent="0.3">
      <c r="A164" s="9">
        <v>7</v>
      </c>
      <c r="B164" s="9">
        <v>0.88629579591014296</v>
      </c>
      <c r="C164" s="9">
        <v>0.941432841954296</v>
      </c>
      <c r="D164" s="9">
        <v>0.83438796995583098</v>
      </c>
      <c r="E164" s="9">
        <v>0.57999999999999996</v>
      </c>
      <c r="F164" s="9">
        <v>0.1</v>
      </c>
      <c r="G164" s="9">
        <v>1.46995808732192</v>
      </c>
      <c r="N164" s="9">
        <f t="shared" si="17"/>
        <v>-1.1903041480954282</v>
      </c>
      <c r="O164" s="9">
        <f t="shared" si="18"/>
        <v>2.4005720708616574</v>
      </c>
      <c r="P164" s="9">
        <f t="shared" si="19"/>
        <v>7.3598111217928475E-2</v>
      </c>
      <c r="Q164" s="9">
        <f t="shared" si="22"/>
        <v>0.23320454353968784</v>
      </c>
      <c r="R164" s="9">
        <f t="shared" si="22"/>
        <v>0.91687091636820706</v>
      </c>
      <c r="S164" s="9">
        <f t="shared" si="22"/>
        <v>0.51839122693488648</v>
      </c>
      <c r="T164" s="9">
        <f t="shared" si="20"/>
        <v>1.4720269681707521</v>
      </c>
      <c r="U164" s="14">
        <f t="shared" si="23"/>
        <v>4.2802679666640463E-6</v>
      </c>
      <c r="W164" s="14">
        <f t="shared" si="21"/>
        <v>0.10314877260553949</v>
      </c>
      <c r="X164" s="16">
        <f t="shared" si="24"/>
        <v>0.14074420670056639</v>
      </c>
    </row>
    <row r="165" spans="1:24" x14ac:dyDescent="0.3">
      <c r="A165" s="9">
        <v>8</v>
      </c>
      <c r="B165" s="9">
        <v>0.82493648944805298</v>
      </c>
      <c r="C165" s="9">
        <v>0.90826014414816902</v>
      </c>
      <c r="D165" s="9">
        <v>0.74925693481917399</v>
      </c>
      <c r="E165" s="9">
        <v>0.54500000000000004</v>
      </c>
      <c r="F165" s="9">
        <v>0.1</v>
      </c>
      <c r="G165" s="9">
        <v>1.4180806766226199</v>
      </c>
      <c r="N165" s="9">
        <f t="shared" si="17"/>
        <v>-1.254372066024017</v>
      </c>
      <c r="O165" s="9">
        <f t="shared" si="18"/>
        <v>2.1755842573387074</v>
      </c>
      <c r="P165" s="9">
        <f t="shared" si="19"/>
        <v>-0.15406455467812871</v>
      </c>
      <c r="Q165" s="9">
        <f t="shared" si="22"/>
        <v>0.22194423091416962</v>
      </c>
      <c r="R165" s="9">
        <f t="shared" si="22"/>
        <v>0.89803544240504707</v>
      </c>
      <c r="S165" s="9">
        <f t="shared" si="22"/>
        <v>0.46155986549256472</v>
      </c>
      <c r="T165" s="9">
        <f t="shared" si="20"/>
        <v>1.4189524234339057</v>
      </c>
      <c r="U165" s="14">
        <f t="shared" si="23"/>
        <v>7.5994250298690332E-7</v>
      </c>
      <c r="W165" s="14">
        <f t="shared" si="21"/>
        <v>7.2517327896894926E-2</v>
      </c>
      <c r="X165" s="16">
        <f t="shared" si="24"/>
        <v>6.1473710604531204E-2</v>
      </c>
    </row>
    <row r="166" spans="1:24" x14ac:dyDescent="0.3">
      <c r="A166" s="9">
        <v>9</v>
      </c>
      <c r="B166" s="9">
        <v>0.73549094564436901</v>
      </c>
      <c r="C166" s="9">
        <v>0.85760768749141303</v>
      </c>
      <c r="D166" s="9">
        <v>0.63076268906494104</v>
      </c>
      <c r="E166" s="9">
        <v>0.52</v>
      </c>
      <c r="F166" s="9">
        <v>0.1</v>
      </c>
      <c r="G166" s="9">
        <v>1.38149327908841</v>
      </c>
      <c r="N166" s="9">
        <f t="shared" si="17"/>
        <v>-1.3765350942417383</v>
      </c>
      <c r="O166" s="9">
        <f t="shared" si="18"/>
        <v>1.8833759957011369</v>
      </c>
      <c r="P166" s="9">
        <f t="shared" si="19"/>
        <v>-0.47102490694225618</v>
      </c>
      <c r="Q166" s="9">
        <f t="shared" si="22"/>
        <v>0.20156605533642782</v>
      </c>
      <c r="R166" s="9">
        <f t="shared" si="22"/>
        <v>0.86799841925875965</v>
      </c>
      <c r="S166" s="9">
        <f t="shared" si="22"/>
        <v>0.38437369058583137</v>
      </c>
      <c r="T166" s="9">
        <f t="shared" si="20"/>
        <v>1.3830988385991212</v>
      </c>
      <c r="U166" s="14">
        <f t="shared" si="23"/>
        <v>2.577821342435105E-6</v>
      </c>
      <c r="W166" s="14">
        <f t="shared" si="21"/>
        <v>5.4150694584845761E-2</v>
      </c>
      <c r="X166" s="16">
        <f t="shared" si="24"/>
        <v>0.11621913294942818</v>
      </c>
    </row>
    <row r="167" spans="1:24" x14ac:dyDescent="0.3">
      <c r="A167" s="9">
        <v>10</v>
      </c>
      <c r="B167" s="9">
        <v>0.592782777626775</v>
      </c>
      <c r="C167" s="9">
        <v>0.769923877813109</v>
      </c>
      <c r="D167" s="9">
        <v>0.45639761485123198</v>
      </c>
      <c r="E167" s="9">
        <v>0.505</v>
      </c>
      <c r="F167" s="9">
        <v>0.1</v>
      </c>
      <c r="G167" s="9">
        <v>1.3693771047380601</v>
      </c>
      <c r="N167" s="9">
        <f t="shared" si="17"/>
        <v>-1.619013236400525</v>
      </c>
      <c r="O167" s="9">
        <f t="shared" si="18"/>
        <v>1.4619731234069466</v>
      </c>
      <c r="P167" s="9">
        <f t="shared" si="19"/>
        <v>-0.91161191102667416</v>
      </c>
      <c r="Q167" s="9">
        <f t="shared" si="22"/>
        <v>0.16534100191220144</v>
      </c>
      <c r="R167" s="9">
        <f t="shared" si="22"/>
        <v>0.81183427337821867</v>
      </c>
      <c r="S167" s="9">
        <f t="shared" si="22"/>
        <v>0.28667010367540924</v>
      </c>
      <c r="T167" s="9">
        <f t="shared" si="20"/>
        <v>1.3724541603044229</v>
      </c>
      <c r="U167" s="14">
        <f t="shared" si="23"/>
        <v>9.468270958484543E-6</v>
      </c>
      <c r="W167" s="14">
        <f t="shared" si="21"/>
        <v>4.8658555589928744E-2</v>
      </c>
      <c r="X167" s="16">
        <f t="shared" si="24"/>
        <v>0.22470476216640356</v>
      </c>
    </row>
    <row r="168" spans="1:24" x14ac:dyDescent="0.3">
      <c r="A168" s="9">
        <v>11</v>
      </c>
      <c r="B168" s="9">
        <v>0.99798365800029598</v>
      </c>
      <c r="C168" s="9">
        <v>0.99899132028276205</v>
      </c>
      <c r="D168" s="9">
        <v>0.99697701212633705</v>
      </c>
      <c r="E168" s="9">
        <v>0.81</v>
      </c>
      <c r="F168" s="9">
        <v>0.1</v>
      </c>
      <c r="G168" s="9">
        <v>1.7893208705036701</v>
      </c>
      <c r="N168" s="9">
        <f t="shared" si="17"/>
        <v>-1.1979161777619363</v>
      </c>
      <c r="O168" s="9">
        <f t="shared" si="18"/>
        <v>2.9984513855050849</v>
      </c>
      <c r="P168" s="9">
        <f t="shared" si="19"/>
        <v>0.43407619569840361</v>
      </c>
      <c r="Q168" s="9">
        <f t="shared" si="22"/>
        <v>0.23184612430260981</v>
      </c>
      <c r="R168" s="9">
        <f t="shared" si="22"/>
        <v>0.95250411653872658</v>
      </c>
      <c r="S168" s="9">
        <f t="shared" si="22"/>
        <v>0.6068466050968726</v>
      </c>
      <c r="T168" s="9">
        <f t="shared" si="20"/>
        <v>1.7896848536979726</v>
      </c>
      <c r="U168" s="14">
        <f t="shared" si="23"/>
        <v>1.3248376573467379E-7</v>
      </c>
      <c r="W168" s="14">
        <f t="shared" si="21"/>
        <v>0.41027946159385859</v>
      </c>
      <c r="X168" s="16">
        <f t="shared" si="24"/>
        <v>2.0341974449785201E-2</v>
      </c>
    </row>
    <row r="169" spans="1:24" x14ac:dyDescent="0.3">
      <c r="A169" s="9">
        <v>12</v>
      </c>
      <c r="B169" s="9">
        <v>0.99082969587065495</v>
      </c>
      <c r="C169" s="9">
        <v>0.99540428764932198</v>
      </c>
      <c r="D169" s="9">
        <v>0.986276127599925</v>
      </c>
      <c r="E169" s="9">
        <v>0.64</v>
      </c>
      <c r="F169" s="9">
        <v>0.1</v>
      </c>
      <c r="G169" s="9">
        <v>1.5657947978858899</v>
      </c>
      <c r="N169" s="9">
        <f t="shared" si="17"/>
        <v>-1.0957602348046211</v>
      </c>
      <c r="O169" s="9">
        <f t="shared" si="18"/>
        <v>2.795266220305332</v>
      </c>
      <c r="P169" s="9">
        <f t="shared" si="19"/>
        <v>0.49688206808639213</v>
      </c>
      <c r="Q169" s="9">
        <f t="shared" si="22"/>
        <v>0.25053514129961091</v>
      </c>
      <c r="R169" s="9">
        <f t="shared" si="22"/>
        <v>0.94241948287877042</v>
      </c>
      <c r="S169" s="9">
        <f t="shared" si="22"/>
        <v>0.62172632634578118</v>
      </c>
      <c r="T169" s="9">
        <f t="shared" si="20"/>
        <v>1.564800400576329</v>
      </c>
      <c r="U169" s="14">
        <f t="shared" si="23"/>
        <v>9.8882600926209187E-7</v>
      </c>
      <c r="W169" s="14">
        <f t="shared" si="21"/>
        <v>0.17389278370705985</v>
      </c>
      <c r="X169" s="16">
        <f t="shared" si="24"/>
        <v>6.3507511386778584E-2</v>
      </c>
    </row>
    <row r="170" spans="1:24" x14ac:dyDescent="0.3">
      <c r="A170" s="9">
        <v>13</v>
      </c>
      <c r="B170" s="9">
        <v>0.976358383123614</v>
      </c>
      <c r="C170" s="9">
        <v>0.98810848752736302</v>
      </c>
      <c r="D170" s="9">
        <v>0.96474800523293602</v>
      </c>
      <c r="E170" s="9">
        <v>0.49</v>
      </c>
      <c r="F170" s="9">
        <v>0.1</v>
      </c>
      <c r="G170" s="9">
        <v>1.35251660102178</v>
      </c>
      <c r="N170" s="9">
        <f t="shared" si="17"/>
        <v>-1.0155678416863672</v>
      </c>
      <c r="O170" s="9">
        <f t="shared" si="18"/>
        <v>2.589752405315048</v>
      </c>
      <c r="P170" s="9">
        <f t="shared" si="19"/>
        <v>0.5154321838392244</v>
      </c>
      <c r="Q170" s="9">
        <f t="shared" si="22"/>
        <v>0.26589162986872728</v>
      </c>
      <c r="R170" s="9">
        <f t="shared" si="22"/>
        <v>0.9301991428352524</v>
      </c>
      <c r="S170" s="9">
        <f t="shared" si="22"/>
        <v>0.62607903927662201</v>
      </c>
      <c r="T170" s="9">
        <f t="shared" si="20"/>
        <v>1.3497177719882396</v>
      </c>
      <c r="U170" s="14">
        <f t="shared" si="23"/>
        <v>7.8334439589883526E-6</v>
      </c>
      <c r="W170" s="14">
        <f t="shared" si="21"/>
        <v>4.1504421581366559E-2</v>
      </c>
      <c r="X170" s="16">
        <f t="shared" si="24"/>
        <v>0.20693491166215044</v>
      </c>
    </row>
    <row r="171" spans="1:24" x14ac:dyDescent="0.3">
      <c r="A171" s="9">
        <v>14</v>
      </c>
      <c r="B171" s="9">
        <v>0.95144310139704402</v>
      </c>
      <c r="C171" s="9">
        <v>0.97541944895365096</v>
      </c>
      <c r="D171" s="9">
        <v>0.92805610567545704</v>
      </c>
      <c r="E171" s="9">
        <v>0.36</v>
      </c>
      <c r="F171" s="9">
        <v>0.1</v>
      </c>
      <c r="G171" s="9">
        <v>1.1518736615154399</v>
      </c>
      <c r="N171" s="9">
        <f t="shared" si="17"/>
        <v>-0.96176478953510181</v>
      </c>
      <c r="O171" s="9">
        <f t="shared" si="18"/>
        <v>2.3723591390284664</v>
      </c>
      <c r="P171" s="9">
        <f t="shared" si="19"/>
        <v>0.47711701756617719</v>
      </c>
      <c r="Q171" s="9">
        <f t="shared" si="22"/>
        <v>0.27652499377835438</v>
      </c>
      <c r="R171" s="9">
        <f t="shared" si="22"/>
        <v>0.91469511954523208</v>
      </c>
      <c r="S171" s="9">
        <f t="shared" si="22"/>
        <v>0.61706686974380642</v>
      </c>
      <c r="T171" s="9">
        <f t="shared" si="20"/>
        <v>1.1499668867968609</v>
      </c>
      <c r="U171" s="14">
        <f t="shared" si="23"/>
        <v>3.6357898274121375E-6</v>
      </c>
      <c r="W171" s="14">
        <f t="shared" si="21"/>
        <v>9.5073581740285551E-6</v>
      </c>
      <c r="X171" s="16">
        <f t="shared" si="24"/>
        <v>0.16553679299085794</v>
      </c>
    </row>
    <row r="172" spans="1:24" x14ac:dyDescent="0.3">
      <c r="A172" s="9">
        <v>15</v>
      </c>
      <c r="B172" s="9">
        <v>0.91157954485698101</v>
      </c>
      <c r="C172" s="9">
        <v>0.95476674892718205</v>
      </c>
      <c r="D172" s="9">
        <v>0.87034583843162105</v>
      </c>
      <c r="E172" s="9">
        <v>0.25</v>
      </c>
      <c r="F172" s="9">
        <v>0.1</v>
      </c>
      <c r="G172" s="9">
        <v>0.96842264671373601</v>
      </c>
      <c r="N172" s="9">
        <f t="shared" si="17"/>
        <v>-0.94154896514366593</v>
      </c>
      <c r="O172" s="9">
        <f t="shared" si="18"/>
        <v>2.1299645591729783</v>
      </c>
      <c r="P172" s="9">
        <f t="shared" si="19"/>
        <v>0.36580884449740103</v>
      </c>
      <c r="Q172" s="9">
        <f t="shared" si="22"/>
        <v>0.28058756505485277</v>
      </c>
      <c r="R172" s="9">
        <f t="shared" si="22"/>
        <v>0.89378164376082248</v>
      </c>
      <c r="S172" s="9">
        <f t="shared" si="22"/>
        <v>0.59044586063897753</v>
      </c>
      <c r="T172" s="9">
        <f t="shared" si="20"/>
        <v>0.96947409274141638</v>
      </c>
      <c r="U172" s="14">
        <f t="shared" si="23"/>
        <v>1.1055387491248282E-6</v>
      </c>
      <c r="W172" s="14">
        <f t="shared" si="21"/>
        <v>3.253247631634474E-2</v>
      </c>
      <c r="X172" s="16">
        <f t="shared" si="24"/>
        <v>0.10857305240107369</v>
      </c>
    </row>
    <row r="173" spans="1:24" x14ac:dyDescent="0.3">
      <c r="A173" s="9">
        <v>16</v>
      </c>
      <c r="B173" s="9">
        <v>0.85026083486688397</v>
      </c>
      <c r="C173" s="9">
        <v>0.92209589244659595</v>
      </c>
      <c r="D173" s="9">
        <v>0.78402202333896698</v>
      </c>
      <c r="E173" s="9">
        <v>0.16</v>
      </c>
      <c r="F173" s="9">
        <v>0.1</v>
      </c>
      <c r="G173" s="9">
        <v>0.80616566340240103</v>
      </c>
      <c r="N173" s="9">
        <f t="shared" si="17"/>
        <v>-0.96713378007550244</v>
      </c>
      <c r="O173" s="9">
        <f t="shared" si="18"/>
        <v>1.8449194448460788</v>
      </c>
      <c r="P173" s="9">
        <f t="shared" si="19"/>
        <v>0.16273396677043162</v>
      </c>
      <c r="Q173" s="9">
        <f t="shared" si="22"/>
        <v>0.27545216911069365</v>
      </c>
      <c r="R173" s="9">
        <f t="shared" si="22"/>
        <v>0.86352948333725821</v>
      </c>
      <c r="S173" s="9">
        <f t="shared" si="22"/>
        <v>0.54059394597154919</v>
      </c>
      <c r="T173" s="9">
        <f t="shared" si="20"/>
        <v>0.81051840145608811</v>
      </c>
      <c r="U173" s="14">
        <f t="shared" si="23"/>
        <v>1.8946328564015569E-5</v>
      </c>
      <c r="W173" s="14">
        <f t="shared" si="21"/>
        <v>0.11739161494165296</v>
      </c>
      <c r="X173" s="16">
        <f t="shared" si="24"/>
        <v>0.53993096596504253</v>
      </c>
    </row>
    <row r="174" spans="1:24" x14ac:dyDescent="0.3">
      <c r="A174" s="9">
        <v>17</v>
      </c>
      <c r="B174" s="9">
        <v>0.758040166935394</v>
      </c>
      <c r="C174" s="9">
        <v>0.87065502177119103</v>
      </c>
      <c r="D174" s="9">
        <v>0.65999147804657299</v>
      </c>
      <c r="E174" s="9">
        <v>0.09</v>
      </c>
      <c r="F174" s="9">
        <v>0.1</v>
      </c>
      <c r="G174" s="9">
        <v>0.67082231785503998</v>
      </c>
      <c r="N174" s="9">
        <f t="shared" si="17"/>
        <v>-1.0603639253220825</v>
      </c>
      <c r="O174" s="9">
        <f t="shared" si="18"/>
        <v>1.4941693129460722</v>
      </c>
      <c r="P174" s="9">
        <f t="shared" si="19"/>
        <v>-0.14902397620669147</v>
      </c>
      <c r="Q174" s="9">
        <f t="shared" si="22"/>
        <v>0.25723991423811171</v>
      </c>
      <c r="R174" s="9">
        <f t="shared" si="22"/>
        <v>0.81670323912471798</v>
      </c>
      <c r="S174" s="9">
        <f t="shared" si="22"/>
        <v>0.46281280204699421</v>
      </c>
      <c r="T174" s="9">
        <f t="shared" si="20"/>
        <v>0.67611223148981547</v>
      </c>
      <c r="U174" s="14">
        <f t="shared" si="23"/>
        <v>2.798318626338363E-5</v>
      </c>
      <c r="W174" s="14">
        <f t="shared" si="21"/>
        <v>0.22845335476174211</v>
      </c>
      <c r="X174" s="16">
        <f t="shared" si="24"/>
        <v>0.78857150306060675</v>
      </c>
    </row>
    <row r="175" spans="1:24" x14ac:dyDescent="0.3">
      <c r="A175" s="9">
        <v>18</v>
      </c>
      <c r="B175" s="9">
        <v>0.62081341767015497</v>
      </c>
      <c r="C175" s="9">
        <v>0.78791713883514103</v>
      </c>
      <c r="D175" s="9">
        <v>0.48914953180113402</v>
      </c>
      <c r="E175" s="9">
        <v>0.04</v>
      </c>
      <c r="F175" s="9">
        <v>0.1</v>
      </c>
      <c r="G175" s="9">
        <v>0.57082198845334697</v>
      </c>
      <c r="N175" s="9">
        <f t="shared" si="17"/>
        <v>-1.2635522597096853</v>
      </c>
      <c r="O175" s="9">
        <f t="shared" si="18"/>
        <v>1.0476316729710937</v>
      </c>
      <c r="P175" s="9">
        <f t="shared" si="19"/>
        <v>-0.56994717613687218</v>
      </c>
      <c r="Q175" s="9">
        <f t="shared" si="22"/>
        <v>0.22036299663878334</v>
      </c>
      <c r="R175" s="9">
        <f t="shared" si="22"/>
        <v>0.7403198561187474</v>
      </c>
      <c r="S175" s="9">
        <f t="shared" si="22"/>
        <v>0.36124901377124086</v>
      </c>
      <c r="T175" s="9">
        <f t="shared" si="20"/>
        <v>0.57737385456919033</v>
      </c>
      <c r="U175" s="14">
        <f t="shared" si="23"/>
        <v>4.2926949599936257E-5</v>
      </c>
      <c r="W175" s="14">
        <f t="shared" si="21"/>
        <v>0.33404732417639116</v>
      </c>
      <c r="X175" s="16">
        <f t="shared" si="24"/>
        <v>1.1477949778346412</v>
      </c>
    </row>
    <row r="176" spans="1:24" x14ac:dyDescent="0.3">
      <c r="A176" s="9">
        <v>19</v>
      </c>
      <c r="B176" s="9">
        <v>0.41411550520763202</v>
      </c>
      <c r="C176" s="9">
        <v>0.64351806906071596</v>
      </c>
      <c r="D176" s="9">
        <v>0.26649081027931798</v>
      </c>
      <c r="E176" s="9">
        <v>0.01</v>
      </c>
      <c r="F176" s="9">
        <v>0.1</v>
      </c>
      <c r="G176" s="9">
        <v>0.528195438681756</v>
      </c>
      <c r="N176" s="9">
        <f t="shared" si="17"/>
        <v>-1.6746433259826923</v>
      </c>
      <c r="O176" s="9">
        <f t="shared" si="18"/>
        <v>0.45375018196956352</v>
      </c>
      <c r="P176" s="9">
        <f t="shared" si="19"/>
        <v>-1.0357999621397105</v>
      </c>
      <c r="Q176" s="9">
        <f t="shared" si="22"/>
        <v>0.15780608439606675</v>
      </c>
      <c r="R176" s="9">
        <f t="shared" si="22"/>
        <v>0.61153050246653506</v>
      </c>
      <c r="S176" s="9">
        <f t="shared" si="22"/>
        <v>0.26196120665334688</v>
      </c>
      <c r="T176" s="9">
        <f t="shared" si="20"/>
        <v>0.53392429193393587</v>
      </c>
      <c r="U176" s="14">
        <f t="shared" si="23"/>
        <v>3.2819759585011831E-5</v>
      </c>
      <c r="W176" s="14">
        <f t="shared" si="21"/>
        <v>0.38513793360184695</v>
      </c>
      <c r="X176" s="16">
        <f t="shared" si="24"/>
        <v>1.0846086188244364</v>
      </c>
    </row>
    <row r="177" spans="1:24" x14ac:dyDescent="0.3">
      <c r="A177" s="9">
        <v>20</v>
      </c>
      <c r="B177" s="9">
        <v>0.60462132125511903</v>
      </c>
      <c r="C177" s="9">
        <v>0.77757399728586496</v>
      </c>
      <c r="D177" s="9">
        <v>0.47013781761260398</v>
      </c>
      <c r="E177" s="9">
        <v>0.13</v>
      </c>
      <c r="F177" s="9">
        <v>0.1</v>
      </c>
      <c r="G177" s="9">
        <v>0.75620461799627203</v>
      </c>
      <c r="N177" s="9">
        <f t="shared" si="17"/>
        <v>-1.3524206812697055</v>
      </c>
      <c r="O177" s="9">
        <f t="shared" si="18"/>
        <v>1.0977679201438566</v>
      </c>
      <c r="P177" s="9">
        <f t="shared" si="19"/>
        <v>-0.66731630464971925</v>
      </c>
      <c r="Q177" s="9">
        <f t="shared" si="22"/>
        <v>0.20547490180350345</v>
      </c>
      <c r="R177" s="9">
        <f t="shared" si="22"/>
        <v>0.74984164748414073</v>
      </c>
      <c r="S177" s="9">
        <f t="shared" si="22"/>
        <v>0.33909802529077188</v>
      </c>
      <c r="T177" s="9">
        <f t="shared" si="20"/>
        <v>0.74605194530897256</v>
      </c>
      <c r="U177" s="14">
        <f t="shared" si="23"/>
        <v>1.0307676269543662E-4</v>
      </c>
      <c r="W177" s="14">
        <f t="shared" si="21"/>
        <v>0.154123487164535</v>
      </c>
      <c r="X177" s="16">
        <f t="shared" si="24"/>
        <v>1.3425827409254885</v>
      </c>
    </row>
    <row r="178" spans="1:24" x14ac:dyDescent="0.3">
      <c r="A178" s="9">
        <v>21</v>
      </c>
      <c r="B178" s="9">
        <v>0.53604508929966299</v>
      </c>
      <c r="C178" s="9">
        <v>0.73215100170638503</v>
      </c>
      <c r="D178" s="9">
        <v>0.392465949090537</v>
      </c>
      <c r="E178" s="9">
        <v>3.6249999999999998E-2</v>
      </c>
      <c r="F178" s="9">
        <v>0.1</v>
      </c>
      <c r="G178" s="9">
        <v>0.56929047277086797</v>
      </c>
      <c r="N178" s="9">
        <f t="shared" si="17"/>
        <v>-1.4258479296803266</v>
      </c>
      <c r="O178" s="9">
        <f t="shared" si="18"/>
        <v>0.80977901849733347</v>
      </c>
      <c r="P178" s="9">
        <f t="shared" si="19"/>
        <v>-0.79655976210678892</v>
      </c>
      <c r="Q178" s="9">
        <f t="shared" si="22"/>
        <v>0.19374644938075514</v>
      </c>
      <c r="R178" s="9">
        <f t="shared" si="22"/>
        <v>0.69206241248410028</v>
      </c>
      <c r="S178" s="9">
        <f t="shared" si="22"/>
        <v>0.31076189965692941</v>
      </c>
      <c r="T178" s="9">
        <f t="shared" si="20"/>
        <v>0.57401479582229975</v>
      </c>
      <c r="U178" s="14">
        <f t="shared" si="23"/>
        <v>2.2319228294289666E-5</v>
      </c>
      <c r="W178" s="14">
        <f t="shared" si="21"/>
        <v>0.33582000466371825</v>
      </c>
      <c r="X178" s="16">
        <f t="shared" si="24"/>
        <v>0.82986160447010626</v>
      </c>
    </row>
    <row r="179" spans="1:24" x14ac:dyDescent="0.3">
      <c r="A179" s="9">
        <v>22</v>
      </c>
      <c r="B179" s="9">
        <v>0.482056160699321</v>
      </c>
      <c r="C179" s="9">
        <v>0.69430264344831705</v>
      </c>
      <c r="D179" s="9">
        <v>0.33469286666408499</v>
      </c>
      <c r="E179" s="9">
        <v>1.8888888888889E-2</v>
      </c>
      <c r="F179" s="9">
        <v>0.1</v>
      </c>
      <c r="G179" s="9">
        <v>0.53635652632144004</v>
      </c>
      <c r="N179" s="9">
        <f t="shared" si="17"/>
        <v>-1.5278247974288623</v>
      </c>
      <c r="O179" s="9">
        <f t="shared" si="18"/>
        <v>0.64523004351006441</v>
      </c>
      <c r="P179" s="9">
        <f t="shared" si="19"/>
        <v>-0.91090036913142614</v>
      </c>
      <c r="Q179" s="9">
        <f t="shared" si="22"/>
        <v>0.17831216682818668</v>
      </c>
      <c r="R179" s="9">
        <f t="shared" si="22"/>
        <v>0.65593476029017783</v>
      </c>
      <c r="S179" s="9">
        <f t="shared" si="22"/>
        <v>0.28681562921404496</v>
      </c>
      <c r="T179" s="9">
        <f t="shared" si="20"/>
        <v>0.54507405598244019</v>
      </c>
      <c r="U179" s="14">
        <f t="shared" si="23"/>
        <v>7.5995323390417303E-5</v>
      </c>
      <c r="W179" s="14">
        <f t="shared" si="21"/>
        <v>0.37507507948446855</v>
      </c>
      <c r="X179" s="16">
        <f t="shared" si="24"/>
        <v>1.6253236854949171</v>
      </c>
    </row>
    <row r="180" spans="1:24" x14ac:dyDescent="0.3">
      <c r="A180" s="9">
        <v>23</v>
      </c>
      <c r="B180" s="9">
        <v>0.44329834371454502</v>
      </c>
      <c r="C180" s="9">
        <v>0.66580653625099295</v>
      </c>
      <c r="D180" s="9">
        <v>0.29515093475438398</v>
      </c>
      <c r="E180" s="9">
        <v>1.2812499999999999E-2</v>
      </c>
      <c r="F180" s="9">
        <v>0.1</v>
      </c>
      <c r="G180" s="9">
        <v>0.52820777379836203</v>
      </c>
      <c r="N180" s="9">
        <f t="shared" si="17"/>
        <v>-1.6094942671780501</v>
      </c>
      <c r="O180" s="9">
        <f t="shared" si="18"/>
        <v>0.53477509151018232</v>
      </c>
      <c r="P180" s="9">
        <f t="shared" si="19"/>
        <v>-0.98535074160648539</v>
      </c>
      <c r="Q180" s="9">
        <f t="shared" si="22"/>
        <v>0.1666588397659256</v>
      </c>
      <c r="R180" s="9">
        <f t="shared" si="22"/>
        <v>0.63059613596081576</v>
      </c>
      <c r="S180" s="9">
        <f t="shared" si="22"/>
        <v>0.27183137070830493</v>
      </c>
      <c r="T180" s="9">
        <f t="shared" si="20"/>
        <v>0.53685899797423653</v>
      </c>
      <c r="U180" s="14">
        <f t="shared" si="23"/>
        <v>7.4843679741235333E-5</v>
      </c>
      <c r="W180" s="14">
        <f t="shared" si="21"/>
        <v>0.38512262353500298</v>
      </c>
      <c r="X180" s="16">
        <f t="shared" si="24"/>
        <v>1.6378449172876075</v>
      </c>
    </row>
    <row r="181" spans="1:24" x14ac:dyDescent="0.3">
      <c r="A181" s="9">
        <v>24</v>
      </c>
      <c r="B181" s="9">
        <v>0.75641498946707797</v>
      </c>
      <c r="C181" s="9">
        <v>0.86972121364669397</v>
      </c>
      <c r="D181" s="9">
        <v>0.65787016265985798</v>
      </c>
      <c r="E181" s="9">
        <v>0.24222222222222201</v>
      </c>
      <c r="F181" s="9">
        <v>0.1</v>
      </c>
      <c r="G181" s="9">
        <v>0.95377996396873599</v>
      </c>
      <c r="N181" s="9">
        <f t="shared" si="17"/>
        <v>-1.1620346720807577</v>
      </c>
      <c r="O181" s="9">
        <f t="shared" si="18"/>
        <v>1.6505666254455778</v>
      </c>
      <c r="P181" s="9">
        <f t="shared" si="19"/>
        <v>-0.24052938768218998</v>
      </c>
      <c r="Q181" s="9">
        <f t="shared" si="22"/>
        <v>0.23829777124276846</v>
      </c>
      <c r="R181" s="9">
        <f t="shared" si="22"/>
        <v>0.83896761676598819</v>
      </c>
      <c r="S181" s="9">
        <f t="shared" si="22"/>
        <v>0.4401558955874092</v>
      </c>
      <c r="T181" s="9">
        <f t="shared" si="20"/>
        <v>0.94446257137043388</v>
      </c>
      <c r="U181" s="14">
        <f t="shared" si="23"/>
        <v>8.6813804830894947E-5</v>
      </c>
      <c r="W181" s="14">
        <f t="shared" si="21"/>
        <v>3.8029015983929208E-2</v>
      </c>
      <c r="X181" s="16">
        <f t="shared" si="24"/>
        <v>0.97689120659778561</v>
      </c>
    </row>
    <row r="182" spans="1:24" x14ac:dyDescent="0.3">
      <c r="A182" s="9">
        <v>25</v>
      </c>
      <c r="B182" s="9">
        <v>0.84330333318766404</v>
      </c>
      <c r="C182" s="9">
        <v>0.91831548674062102</v>
      </c>
      <c r="D182" s="9">
        <v>0.77441851088621805</v>
      </c>
      <c r="E182" s="9">
        <v>0.32624999999999998</v>
      </c>
      <c r="F182" s="9">
        <v>0.1</v>
      </c>
      <c r="G182" s="9">
        <v>1.09267391215608</v>
      </c>
      <c r="N182" s="9">
        <f t="shared" si="17"/>
        <v>-1.0853053244157338</v>
      </c>
      <c r="O182" s="9">
        <f t="shared" si="18"/>
        <v>1.9997219098673973</v>
      </c>
      <c r="P182" s="9">
        <f t="shared" si="19"/>
        <v>4.1391971439252329E-2</v>
      </c>
      <c r="Q182" s="9">
        <f t="shared" si="22"/>
        <v>0.25250334684409698</v>
      </c>
      <c r="R182" s="9">
        <f t="shared" si="22"/>
        <v>0.88076787720574101</v>
      </c>
      <c r="S182" s="9">
        <f t="shared" si="22"/>
        <v>0.51034651568226941</v>
      </c>
      <c r="T182" s="9">
        <f t="shared" si="20"/>
        <v>1.0882173211255348</v>
      </c>
      <c r="U182" s="14">
        <f t="shared" si="23"/>
        <v>1.9861203613535814E-5</v>
      </c>
      <c r="W182" s="14">
        <f t="shared" si="21"/>
        <v>3.1490446178477137E-3</v>
      </c>
      <c r="X182" s="16">
        <f t="shared" si="24"/>
        <v>0.40786102614561159</v>
      </c>
    </row>
    <row r="183" spans="1:24" x14ac:dyDescent="0.3">
      <c r="A183" s="9">
        <v>26</v>
      </c>
      <c r="B183" s="9">
        <v>0.82722243711388799</v>
      </c>
      <c r="C183" s="9">
        <v>0.90951769477778099</v>
      </c>
      <c r="D183" s="9">
        <v>0.75237344407228102</v>
      </c>
      <c r="E183" s="9">
        <v>0.17</v>
      </c>
      <c r="F183" s="9">
        <v>0.1</v>
      </c>
      <c r="G183" s="9">
        <v>0.82468296697426202</v>
      </c>
      <c r="N183" s="9">
        <f t="shared" si="17"/>
        <v>-1.006915987023143</v>
      </c>
      <c r="O183" s="9">
        <f t="shared" si="18"/>
        <v>1.7854316611039256</v>
      </c>
      <c r="P183" s="9">
        <f t="shared" si="19"/>
        <v>6.5882781320716677E-2</v>
      </c>
      <c r="Q183" s="9">
        <f t="shared" si="22"/>
        <v>0.2675838306297933</v>
      </c>
      <c r="R183" s="9">
        <f t="shared" si="22"/>
        <v>0.85636627105494512</v>
      </c>
      <c r="S183" s="9">
        <f t="shared" si="22"/>
        <v>0.5164647402711241</v>
      </c>
      <c r="T183" s="9">
        <f t="shared" si="20"/>
        <v>0.82553906061546611</v>
      </c>
      <c r="U183" s="14">
        <f t="shared" si="23"/>
        <v>7.328963225100807E-7</v>
      </c>
      <c r="W183" s="14">
        <f t="shared" si="21"/>
        <v>0.10504553810003188</v>
      </c>
      <c r="X183" s="16">
        <f t="shared" si="24"/>
        <v>0.10380881811407781</v>
      </c>
    </row>
    <row r="184" spans="1:24" x14ac:dyDescent="0.3">
      <c r="A184" s="9">
        <v>27</v>
      </c>
      <c r="B184" s="9">
        <v>0.79294453563825096</v>
      </c>
      <c r="C184" s="9">
        <v>0.89047433182447799</v>
      </c>
      <c r="D184" s="9">
        <v>0.70609675554634299</v>
      </c>
      <c r="E184" s="9">
        <v>0.1153125</v>
      </c>
      <c r="F184" s="9">
        <v>0.1</v>
      </c>
      <c r="G184" s="9">
        <v>0.72074232377190395</v>
      </c>
      <c r="N184" s="9">
        <f t="shared" si="17"/>
        <v>-1.0225351118741473</v>
      </c>
      <c r="O184" s="9">
        <f t="shared" si="18"/>
        <v>1.6244653864172751</v>
      </c>
      <c r="P184" s="9">
        <f t="shared" si="19"/>
        <v>-3.4797359101566783E-2</v>
      </c>
      <c r="Q184" s="9">
        <f t="shared" si="22"/>
        <v>0.26453388571440994</v>
      </c>
      <c r="R184" s="9">
        <f t="shared" si="22"/>
        <v>0.8354100408606624</v>
      </c>
      <c r="S184" s="9">
        <f t="shared" si="22"/>
        <v>0.49130153792245745</v>
      </c>
      <c r="T184" s="9">
        <f t="shared" si="20"/>
        <v>0.7253367179025686</v>
      </c>
      <c r="U184" s="14">
        <f t="shared" si="23"/>
        <v>2.1108457427885763E-5</v>
      </c>
      <c r="W184" s="14">
        <f t="shared" si="21"/>
        <v>0.18322503664360584</v>
      </c>
      <c r="X184" s="16">
        <f t="shared" si="24"/>
        <v>0.63745307846229005</v>
      </c>
    </row>
    <row r="185" spans="1:24" x14ac:dyDescent="0.3">
      <c r="A185" s="9">
        <v>28</v>
      </c>
      <c r="B185" s="9">
        <v>0.723369663208</v>
      </c>
      <c r="C185" s="9">
        <v>0.85051141274412101</v>
      </c>
      <c r="D185" s="9">
        <v>0.61523415419127503</v>
      </c>
      <c r="E185" s="9">
        <v>0.1</v>
      </c>
      <c r="F185" s="9">
        <v>0.1</v>
      </c>
      <c r="G185" s="9">
        <v>0.69198192198743902</v>
      </c>
      <c r="N185" s="9">
        <f t="shared" si="17"/>
        <v>-1.1230221818544808</v>
      </c>
      <c r="O185" s="9">
        <f t="shared" si="18"/>
        <v>1.4033665682117424</v>
      </c>
      <c r="P185" s="9">
        <f t="shared" si="19"/>
        <v>-0.2767203943549541</v>
      </c>
      <c r="Q185" s="9">
        <f t="shared" si="22"/>
        <v>0.24545113024913651</v>
      </c>
      <c r="R185" s="9">
        <f t="shared" si="22"/>
        <v>0.80271756866125432</v>
      </c>
      <c r="S185" s="9">
        <f t="shared" si="22"/>
        <v>0.43125799778739543</v>
      </c>
      <c r="T185" s="9">
        <f t="shared" si="20"/>
        <v>0.69191112728140658</v>
      </c>
      <c r="U185" s="14">
        <f t="shared" si="23"/>
        <v>5.0118904022195782E-9</v>
      </c>
      <c r="W185" s="14">
        <f t="shared" si="21"/>
        <v>0.2086738586750588</v>
      </c>
      <c r="X185" s="16">
        <f t="shared" si="24"/>
        <v>1.0230716118870654E-2</v>
      </c>
    </row>
    <row r="186" spans="1:24" x14ac:dyDescent="0.3">
      <c r="A186" s="9">
        <v>29</v>
      </c>
      <c r="B186" s="9">
        <v>0.90058022766249901</v>
      </c>
      <c r="C186" s="9">
        <v>0.94898905560733404</v>
      </c>
      <c r="D186" s="9">
        <v>0.85464077974807295</v>
      </c>
      <c r="E186" s="9">
        <v>0.4</v>
      </c>
      <c r="F186" s="9">
        <v>0.1</v>
      </c>
      <c r="G186" s="9">
        <v>1.2109717553428001</v>
      </c>
      <c r="N186" s="9">
        <f t="shared" si="17"/>
        <v>-1.053827124634992</v>
      </c>
      <c r="O186" s="9">
        <f t="shared" si="18"/>
        <v>2.2544059088865858</v>
      </c>
      <c r="P186" s="9">
        <f t="shared" si="19"/>
        <v>0.2347409696434295</v>
      </c>
      <c r="Q186" s="9">
        <f t="shared" si="22"/>
        <v>0.25849086531755044</v>
      </c>
      <c r="R186" s="9">
        <f t="shared" si="22"/>
        <v>0.90502990277421536</v>
      </c>
      <c r="S186" s="9">
        <f t="shared" si="22"/>
        <v>0.55841723977612168</v>
      </c>
      <c r="T186" s="9">
        <f t="shared" si="20"/>
        <v>1.2085481501531783</v>
      </c>
      <c r="U186" s="14">
        <f t="shared" si="23"/>
        <v>5.8738621151617872E-6</v>
      </c>
      <c r="W186" s="14">
        <f t="shared" si="21"/>
        <v>3.8665382273179293E-3</v>
      </c>
      <c r="X186" s="16">
        <f t="shared" si="24"/>
        <v>0.20013721863692377</v>
      </c>
    </row>
    <row r="187" spans="1:24" x14ac:dyDescent="0.3">
      <c r="A187" s="9">
        <v>30</v>
      </c>
      <c r="B187" s="9">
        <v>0.93966736106488902</v>
      </c>
      <c r="C187" s="9">
        <v>0.96936441087182901</v>
      </c>
      <c r="D187" s="9">
        <v>0.91088009787415303</v>
      </c>
      <c r="E187" s="9">
        <v>0.47222222222222199</v>
      </c>
      <c r="F187" s="9">
        <v>0.1</v>
      </c>
      <c r="G187" s="9">
        <v>1.32223163295625</v>
      </c>
      <c r="N187" s="9">
        <f t="shared" si="17"/>
        <v>-1.0497274014756326</v>
      </c>
      <c r="O187" s="9">
        <f t="shared" si="18"/>
        <v>2.4537765088548369</v>
      </c>
      <c r="P187" s="9">
        <f t="shared" si="19"/>
        <v>0.36213780829032005</v>
      </c>
      <c r="Q187" s="9">
        <f t="shared" si="22"/>
        <v>0.25927745065243912</v>
      </c>
      <c r="R187" s="9">
        <f t="shared" si="22"/>
        <v>0.92083718134730108</v>
      </c>
      <c r="S187" s="9">
        <f t="shared" si="22"/>
        <v>0.58955783847621668</v>
      </c>
      <c r="T187" s="9">
        <f t="shared" si="20"/>
        <v>1.3208367539364358</v>
      </c>
      <c r="U187" s="14">
        <f t="shared" si="23"/>
        <v>1.9456874799177279E-6</v>
      </c>
      <c r="W187" s="14">
        <f t="shared" si="21"/>
        <v>3.008190947430826E-2</v>
      </c>
      <c r="X187" s="16">
        <f t="shared" si="24"/>
        <v>0.10549430107760246</v>
      </c>
    </row>
    <row r="188" spans="1:24" x14ac:dyDescent="0.3">
      <c r="A188" s="9">
        <v>31</v>
      </c>
      <c r="B188" s="9">
        <v>0.93311773293603195</v>
      </c>
      <c r="C188" s="9">
        <v>0.96598019282800596</v>
      </c>
      <c r="D188" s="9">
        <v>0.90137324759278004</v>
      </c>
      <c r="E188" s="9">
        <v>0.3203125</v>
      </c>
      <c r="F188" s="9">
        <v>0.1</v>
      </c>
      <c r="G188" s="9">
        <v>1.08718317595881</v>
      </c>
      <c r="N188" s="9">
        <f t="shared" si="17"/>
        <v>-0.95923333875820127</v>
      </c>
      <c r="O188" s="9">
        <f t="shared" si="18"/>
        <v>2.2721965298853002</v>
      </c>
      <c r="P188" s="9">
        <f t="shared" si="19"/>
        <v>0.41903305890624742</v>
      </c>
      <c r="Q188" s="9">
        <f t="shared" si="22"/>
        <v>0.27703171948307592</v>
      </c>
      <c r="R188" s="9">
        <f t="shared" si="22"/>
        <v>0.90654804114566157</v>
      </c>
      <c r="S188" s="9">
        <f t="shared" si="22"/>
        <v>0.60325184621690742</v>
      </c>
      <c r="T188" s="9">
        <f t="shared" si="20"/>
        <v>1.0857732080515126</v>
      </c>
      <c r="U188" s="14">
        <f t="shared" si="23"/>
        <v>1.9880094996086543E-6</v>
      </c>
      <c r="W188" s="14">
        <f t="shared" si="21"/>
        <v>3.7954329385529945E-3</v>
      </c>
      <c r="X188" s="16">
        <f t="shared" si="24"/>
        <v>0.12969000426758215</v>
      </c>
    </row>
    <row r="189" spans="1:24" x14ac:dyDescent="0.3">
      <c r="A189" s="9">
        <v>32</v>
      </c>
      <c r="B189" s="9">
        <v>0.67803485561868704</v>
      </c>
      <c r="C189" s="9">
        <v>0.82342871920931104</v>
      </c>
      <c r="D189" s="9">
        <v>0.55831337274136505</v>
      </c>
      <c r="E189" s="9">
        <v>6.0816326530612003E-2</v>
      </c>
      <c r="F189" s="9">
        <v>0.1</v>
      </c>
      <c r="G189" s="9">
        <v>0.61280256017944501</v>
      </c>
      <c r="N189" s="9">
        <f t="shared" si="17"/>
        <v>-1.1743567664032628</v>
      </c>
      <c r="O189" s="9">
        <f t="shared" si="18"/>
        <v>1.2313372888691461</v>
      </c>
      <c r="P189" s="9">
        <f t="shared" si="19"/>
        <v>-0.40566396041869918</v>
      </c>
      <c r="Q189" s="9">
        <f t="shared" si="22"/>
        <v>0.23606838132004146</v>
      </c>
      <c r="R189" s="9">
        <f t="shared" si="22"/>
        <v>0.77405254538944768</v>
      </c>
      <c r="S189" s="9">
        <f t="shared" si="22"/>
        <v>0.39995227639462377</v>
      </c>
      <c r="T189" s="9">
        <f t="shared" si="20"/>
        <v>0.61718992286922847</v>
      </c>
      <c r="U189" s="14">
        <f t="shared" si="23"/>
        <v>1.9248951371703943E-5</v>
      </c>
      <c r="W189" s="14">
        <f t="shared" si="21"/>
        <v>0.28728281552904689</v>
      </c>
      <c r="X189" s="16">
        <f t="shared" si="24"/>
        <v>0.71595045041892791</v>
      </c>
    </row>
    <row r="190" spans="1:24" x14ac:dyDescent="0.3">
      <c r="A190" s="9">
        <v>33</v>
      </c>
      <c r="B190" s="9">
        <v>0.89158042542455795</v>
      </c>
      <c r="C190" s="9">
        <v>0.94423536548074605</v>
      </c>
      <c r="D190" s="9">
        <v>0.84186176885623698</v>
      </c>
      <c r="E190" s="9">
        <v>0.24326530612244901</v>
      </c>
      <c r="F190" s="9">
        <v>0.1</v>
      </c>
      <c r="G190" s="9">
        <v>0.95630257135574204</v>
      </c>
      <c r="N190" s="9">
        <f t="shared" si="17"/>
        <v>-0.96392594991960845</v>
      </c>
      <c r="O190" s="9">
        <f t="shared" si="18"/>
        <v>2.0604254610470099</v>
      </c>
      <c r="P190" s="9">
        <f t="shared" si="19"/>
        <v>0.2851308814973077</v>
      </c>
      <c r="Q190" s="9">
        <f t="shared" si="22"/>
        <v>0.27609284324436389</v>
      </c>
      <c r="R190" s="9">
        <f t="shared" si="22"/>
        <v>0.88699682238270239</v>
      </c>
      <c r="S190" s="9">
        <f t="shared" si="22"/>
        <v>0.57080367643594632</v>
      </c>
      <c r="T190" s="9">
        <f t="shared" si="20"/>
        <v>0.95653998994831901</v>
      </c>
      <c r="U190" s="14">
        <f t="shared" si="23"/>
        <v>5.6367588101232468E-8</v>
      </c>
      <c r="W190" s="14">
        <f t="shared" si="21"/>
        <v>3.7051510699829662E-2</v>
      </c>
      <c r="X190" s="16">
        <f t="shared" si="24"/>
        <v>2.4826723224260539E-2</v>
      </c>
    </row>
    <row r="191" spans="1:24" x14ac:dyDescent="0.3">
      <c r="A191" s="9">
        <v>34</v>
      </c>
      <c r="B191" s="9">
        <v>0.96611717808573405</v>
      </c>
      <c r="C191" s="9">
        <v>0.98291259941346498</v>
      </c>
      <c r="D191" s="9">
        <v>0.94960874685024999</v>
      </c>
      <c r="E191" s="9">
        <v>0.54734693877550999</v>
      </c>
      <c r="F191" s="9">
        <v>0.1</v>
      </c>
      <c r="G191" s="9">
        <v>1.4335834035566799</v>
      </c>
      <c r="N191" s="9">
        <f t="shared" si="17"/>
        <v>-1.0654462166881016</v>
      </c>
      <c r="O191" s="9">
        <f t="shared" si="18"/>
        <v>2.6175997490860352</v>
      </c>
      <c r="P191" s="9">
        <f t="shared" si="19"/>
        <v>0.43704801006440441</v>
      </c>
      <c r="Q191" s="9">
        <f t="shared" si="22"/>
        <v>0.25627005200716518</v>
      </c>
      <c r="R191" s="9">
        <f t="shared" si="22"/>
        <v>0.93198571616725134</v>
      </c>
      <c r="S191" s="9">
        <f t="shared" si="22"/>
        <v>0.60755540628398397</v>
      </c>
      <c r="T191" s="9">
        <f t="shared" si="20"/>
        <v>1.4325809661883664</v>
      </c>
      <c r="U191" s="14">
        <f t="shared" si="23"/>
        <v>1.0048806773913227E-6</v>
      </c>
      <c r="W191" s="14">
        <f t="shared" si="21"/>
        <v>8.1107133995162312E-2</v>
      </c>
      <c r="X191" s="16">
        <f t="shared" si="24"/>
        <v>6.9925291115012542E-2</v>
      </c>
    </row>
    <row r="192" spans="1:24" x14ac:dyDescent="0.3">
      <c r="A192" s="9">
        <v>35</v>
      </c>
      <c r="B192" s="9">
        <v>0.98325960470347495</v>
      </c>
      <c r="C192" s="9">
        <v>0.99159447593432803</v>
      </c>
      <c r="D192" s="9">
        <v>0.97499479243333698</v>
      </c>
      <c r="E192" s="9">
        <v>0.6278125</v>
      </c>
      <c r="F192" s="9">
        <v>0.1</v>
      </c>
      <c r="G192" s="9">
        <v>1.54758284956047</v>
      </c>
      <c r="N192" s="9">
        <f t="shared" si="17"/>
        <v>-1.096913694913267</v>
      </c>
      <c r="O192" s="9">
        <f t="shared" si="18"/>
        <v>2.7579056660835688</v>
      </c>
      <c r="P192" s="9">
        <f t="shared" si="19"/>
        <v>0.46918769947665706</v>
      </c>
      <c r="Q192" s="9">
        <f t="shared" si="22"/>
        <v>0.25031862155457091</v>
      </c>
      <c r="R192" s="9">
        <f t="shared" si="22"/>
        <v>0.94035828245020825</v>
      </c>
      <c r="S192" s="9">
        <f t="shared" si="22"/>
        <v>0.61519147774027216</v>
      </c>
      <c r="T192" s="9">
        <f t="shared" si="20"/>
        <v>1.5473218914943043</v>
      </c>
      <c r="U192" s="14">
        <f t="shared" si="23"/>
        <v>6.8099112296921949E-8</v>
      </c>
      <c r="W192" s="14">
        <f t="shared" si="21"/>
        <v>0.15903552861773931</v>
      </c>
      <c r="X192" s="16">
        <f t="shared" si="24"/>
        <v>1.6862300214801212E-2</v>
      </c>
    </row>
    <row r="193" spans="1:24" x14ac:dyDescent="0.3">
      <c r="A193" s="9">
        <v>36</v>
      </c>
      <c r="B193" s="9">
        <v>0.63822315837842403</v>
      </c>
      <c r="C193" s="9">
        <v>0.79888870212215701</v>
      </c>
      <c r="D193" s="9">
        <v>0.50986927066124299</v>
      </c>
      <c r="E193" s="9">
        <v>4.4691358024691E-2</v>
      </c>
      <c r="F193" s="9">
        <v>0.1</v>
      </c>
      <c r="G193" s="9">
        <v>0.58010814407312095</v>
      </c>
      <c r="N193" s="9">
        <f t="shared" si="17"/>
        <v>-1.2346479535955504</v>
      </c>
      <c r="O193" s="9">
        <f t="shared" si="18"/>
        <v>1.1014362888938616</v>
      </c>
      <c r="P193" s="9">
        <f t="shared" si="19"/>
        <v>-0.52081277342907117</v>
      </c>
      <c r="Q193" s="9">
        <f t="shared" si="22"/>
        <v>0.2253689606269775</v>
      </c>
      <c r="R193" s="9">
        <f t="shared" si="22"/>
        <v>0.75052912612760525</v>
      </c>
      <c r="S193" s="9">
        <f t="shared" si="22"/>
        <v>0.3726621997244694</v>
      </c>
      <c r="T193" s="9">
        <f t="shared" si="20"/>
        <v>0.58615425688681044</v>
      </c>
      <c r="U193" s="14">
        <f t="shared" si="23"/>
        <v>3.6555480155860328E-5</v>
      </c>
      <c r="W193" s="14">
        <f t="shared" si="21"/>
        <v>0.32339935021656518</v>
      </c>
      <c r="X193" s="16">
        <f t="shared" si="24"/>
        <v>1.0422389127719955</v>
      </c>
    </row>
    <row r="194" spans="1:24" x14ac:dyDescent="0.3">
      <c r="A194" s="9">
        <v>37</v>
      </c>
      <c r="B194" s="9">
        <v>0.86512518623928802</v>
      </c>
      <c r="C194" s="9">
        <v>0.93012105999127204</v>
      </c>
      <c r="D194" s="9">
        <v>0.80467115525003297</v>
      </c>
      <c r="E194" s="9">
        <v>0.178765432098765</v>
      </c>
      <c r="F194" s="9">
        <v>0.1</v>
      </c>
      <c r="G194" s="9">
        <v>0.84099926683246795</v>
      </c>
      <c r="N194" s="9">
        <f t="shared" ref="N194:N257" si="25">B194*$I$1+C194*$J$1+D194*$K$1+E194*$L$1+F194*$M$1+$I$4</f>
        <v>-0.95836443698724905</v>
      </c>
      <c r="O194" s="9">
        <f t="shared" ref="O194:O257" si="26">$I$2*B194+$J$2*C194+$K$2*D194+$L$2*E194+$M$2*F194+$I$5</f>
        <v>1.9103521963949641</v>
      </c>
      <c r="P194" s="9">
        <f t="shared" ref="P194:P257" si="27">$I$3*B194+$J$3*C194+$K$3*D194+$L$3*E194+$M$3*F194+$I$6</f>
        <v>0.21223489429675202</v>
      </c>
      <c r="Q194" s="9">
        <f t="shared" si="22"/>
        <v>0.27720578131238766</v>
      </c>
      <c r="R194" s="9">
        <f t="shared" si="22"/>
        <v>0.8710587101144005</v>
      </c>
      <c r="S194" s="9">
        <f t="shared" si="22"/>
        <v>0.55286045339151102</v>
      </c>
      <c r="T194" s="9">
        <f t="shared" ref="T194:T257" si="28">$I$7*Q194+$J$7*R194+$K$7*S194+$I$8</f>
        <v>0.84462780855988895</v>
      </c>
      <c r="U194" s="14">
        <f t="shared" si="23"/>
        <v>1.3166315067635356E-5</v>
      </c>
      <c r="W194" s="14">
        <f t="shared" ref="W194:W257" si="29">(G194-$V$4)^2</f>
        <v>9.473529614699587E-2</v>
      </c>
      <c r="X194" s="16">
        <f t="shared" si="24"/>
        <v>0.43145599176174126</v>
      </c>
    </row>
    <row r="195" spans="1:24" x14ac:dyDescent="0.3">
      <c r="A195" s="9">
        <v>38</v>
      </c>
      <c r="B195" s="9">
        <v>0.95986863223136598</v>
      </c>
      <c r="C195" s="9">
        <v>0.97972885648600005</v>
      </c>
      <c r="D195" s="9">
        <v>0.94041099743281698</v>
      </c>
      <c r="E195" s="9">
        <v>0.40222222222222198</v>
      </c>
      <c r="F195" s="9">
        <v>0.1</v>
      </c>
      <c r="G195" s="9">
        <v>1.2189438817818401</v>
      </c>
      <c r="N195" s="9">
        <f t="shared" si="25"/>
        <v>-0.978716192959177</v>
      </c>
      <c r="O195" s="9">
        <f t="shared" si="26"/>
        <v>2.443942599743826</v>
      </c>
      <c r="P195" s="9">
        <f t="shared" si="27"/>
        <v>0.49077928508838609</v>
      </c>
      <c r="Q195" s="9">
        <f t="shared" ref="Q195:S258" si="30">1/(1+EXP(-N195))</f>
        <v>0.27314659329541158</v>
      </c>
      <c r="R195" s="9">
        <f t="shared" si="30"/>
        <v>0.92011735486923074</v>
      </c>
      <c r="S195" s="9">
        <f t="shared" si="30"/>
        <v>0.62028999480500002</v>
      </c>
      <c r="T195" s="9">
        <f t="shared" si="28"/>
        <v>1.2162071588414602</v>
      </c>
      <c r="U195" s="14">
        <f t="shared" ref="U195:U258" si="31">(G195-T195)^2</f>
        <v>7.4896524524013559E-6</v>
      </c>
      <c r="W195" s="14">
        <f t="shared" si="29"/>
        <v>4.9215304959567378E-3</v>
      </c>
      <c r="X195" s="16">
        <f t="shared" ref="X195:X258" si="32">100*ABS((T195-G195)/G195)</f>
        <v>0.22451590932794541</v>
      </c>
    </row>
    <row r="196" spans="1:24" x14ac:dyDescent="0.3">
      <c r="A196" s="9">
        <v>39</v>
      </c>
      <c r="B196" s="9">
        <v>0.993341005660478</v>
      </c>
      <c r="C196" s="9">
        <v>0.99666494152271501</v>
      </c>
      <c r="D196" s="9">
        <v>0.99002815531871602</v>
      </c>
      <c r="E196" s="9">
        <v>0.71506172839506199</v>
      </c>
      <c r="F196" s="9">
        <v>0.1</v>
      </c>
      <c r="G196" s="9">
        <v>1.6663073849815899</v>
      </c>
      <c r="N196" s="9">
        <f t="shared" si="25"/>
        <v>-1.1416267066107504</v>
      </c>
      <c r="O196" s="9">
        <f t="shared" si="26"/>
        <v>2.8828750742496174</v>
      </c>
      <c r="P196" s="9">
        <f t="shared" si="27"/>
        <v>0.4661546880688705</v>
      </c>
      <c r="Q196" s="9">
        <f t="shared" si="30"/>
        <v>0.24202182090922106</v>
      </c>
      <c r="R196" s="9">
        <f t="shared" si="30"/>
        <v>0.94699336910710274</v>
      </c>
      <c r="S196" s="9">
        <f t="shared" si="30"/>
        <v>0.61447321975660119</v>
      </c>
      <c r="T196" s="9">
        <f t="shared" si="28"/>
        <v>1.6663686992418119</v>
      </c>
      <c r="U196" s="14">
        <f t="shared" si="31"/>
        <v>3.7594385065630494E-9</v>
      </c>
      <c r="W196" s="14">
        <f t="shared" si="29"/>
        <v>0.26782397351941628</v>
      </c>
      <c r="X196" s="16">
        <f t="shared" si="32"/>
        <v>3.6796488315756649E-3</v>
      </c>
    </row>
    <row r="197" spans="1:24" x14ac:dyDescent="0.3">
      <c r="A197" s="9">
        <v>1</v>
      </c>
      <c r="B197" s="9">
        <v>1</v>
      </c>
      <c r="C197" s="9">
        <v>1</v>
      </c>
      <c r="D197" s="9">
        <v>1</v>
      </c>
      <c r="E197" s="9">
        <v>1</v>
      </c>
      <c r="F197" s="9">
        <v>0.2</v>
      </c>
      <c r="G197" s="9">
        <v>2.0189231342334399</v>
      </c>
      <c r="N197" s="9">
        <f t="shared" si="25"/>
        <v>-1.3545302030095598</v>
      </c>
      <c r="O197" s="9">
        <f t="shared" si="26"/>
        <v>3.1824551175900799</v>
      </c>
      <c r="P197" s="9">
        <f t="shared" si="27"/>
        <v>0.19115220516301645</v>
      </c>
      <c r="Q197" s="9">
        <f t="shared" si="30"/>
        <v>0.2051307258690494</v>
      </c>
      <c r="R197" s="9">
        <f t="shared" si="30"/>
        <v>0.96016866767457487</v>
      </c>
      <c r="S197" s="9">
        <f t="shared" si="30"/>
        <v>0.5476430697251885</v>
      </c>
      <c r="T197" s="9">
        <f t="shared" si="28"/>
        <v>2.0188121089482181</v>
      </c>
      <c r="U197" s="14">
        <f t="shared" si="31"/>
        <v>1.2326613958601689E-8</v>
      </c>
      <c r="W197" s="14">
        <f t="shared" si="29"/>
        <v>0.7571312169221559</v>
      </c>
      <c r="X197" s="16">
        <f t="shared" si="32"/>
        <v>5.4992328999213438E-3</v>
      </c>
    </row>
    <row r="198" spans="1:24" x14ac:dyDescent="0.3">
      <c r="A198" s="9">
        <v>2</v>
      </c>
      <c r="B198" s="9">
        <v>0.99805795702633604</v>
      </c>
      <c r="C198" s="9">
        <v>0.99902850661346798</v>
      </c>
      <c r="D198" s="9">
        <v>0.99708835032170995</v>
      </c>
      <c r="E198" s="9">
        <v>0.90500000000000003</v>
      </c>
      <c r="F198" s="9">
        <v>0.2</v>
      </c>
      <c r="G198" s="9">
        <v>1.9074225523069099</v>
      </c>
      <c r="N198" s="9">
        <f t="shared" si="25"/>
        <v>-1.2949850984513276</v>
      </c>
      <c r="O198" s="9">
        <f t="shared" si="26"/>
        <v>3.0755597671804376</v>
      </c>
      <c r="P198" s="9">
        <f t="shared" si="27"/>
        <v>0.2356567417623342</v>
      </c>
      <c r="Q198" s="9">
        <f t="shared" si="30"/>
        <v>0.21501022645694928</v>
      </c>
      <c r="R198" s="9">
        <f t="shared" si="30"/>
        <v>0.95587327619877227</v>
      </c>
      <c r="S198" s="9">
        <f t="shared" si="30"/>
        <v>0.55864304557012745</v>
      </c>
      <c r="T198" s="9">
        <f t="shared" si="28"/>
        <v>1.9096617783107912</v>
      </c>
      <c r="U198" s="14">
        <f t="shared" si="31"/>
        <v>5.0141330964580693E-6</v>
      </c>
      <c r="W198" s="14">
        <f t="shared" si="29"/>
        <v>0.57552295327466274</v>
      </c>
      <c r="X198" s="16">
        <f t="shared" si="32"/>
        <v>0.11739538264204025</v>
      </c>
    </row>
    <row r="199" spans="1:24" x14ac:dyDescent="0.3">
      <c r="A199" s="9">
        <v>3</v>
      </c>
      <c r="B199" s="9">
        <v>0.99152490614171696</v>
      </c>
      <c r="C199" s="9">
        <v>0.99575343641973801</v>
      </c>
      <c r="D199" s="9">
        <v>0.98731433258637302</v>
      </c>
      <c r="E199" s="9">
        <v>0.82</v>
      </c>
      <c r="F199" s="9">
        <v>0.2</v>
      </c>
      <c r="G199" s="9">
        <v>1.80230616236206</v>
      </c>
      <c r="N199" s="9">
        <f t="shared" si="25"/>
        <v>-1.247417436278019</v>
      </c>
      <c r="O199" s="9">
        <f t="shared" si="26"/>
        <v>2.9643857437817118</v>
      </c>
      <c r="P199" s="9">
        <f t="shared" si="27"/>
        <v>0.25347329103893801</v>
      </c>
      <c r="Q199" s="9">
        <f t="shared" si="30"/>
        <v>0.22314751310430192</v>
      </c>
      <c r="R199" s="9">
        <f t="shared" si="30"/>
        <v>0.95093901157615668</v>
      </c>
      <c r="S199" s="9">
        <f t="shared" si="30"/>
        <v>0.56303121074984808</v>
      </c>
      <c r="T199" s="9">
        <f t="shared" si="28"/>
        <v>1.8059042186036858</v>
      </c>
      <c r="U199" s="14">
        <f t="shared" si="31"/>
        <v>1.2946008717902313E-5</v>
      </c>
      <c r="W199" s="14">
        <f t="shared" si="29"/>
        <v>0.42708303321340357</v>
      </c>
      <c r="X199" s="16">
        <f t="shared" si="32"/>
        <v>0.19963623921200291</v>
      </c>
    </row>
    <row r="200" spans="1:24" x14ac:dyDescent="0.3">
      <c r="A200" s="9">
        <v>4</v>
      </c>
      <c r="B200" s="9">
        <v>0.97911342554320102</v>
      </c>
      <c r="C200" s="9">
        <v>0.98950160461881098</v>
      </c>
      <c r="D200" s="9">
        <v>0.96883430567881701</v>
      </c>
      <c r="E200" s="9">
        <v>0.745</v>
      </c>
      <c r="F200" s="9">
        <v>0.2</v>
      </c>
      <c r="G200" s="9">
        <v>1.7041306907454901</v>
      </c>
      <c r="N200" s="9">
        <f t="shared" si="25"/>
        <v>-1.2135285106322291</v>
      </c>
      <c r="O200" s="9">
        <f t="shared" si="26"/>
        <v>2.8449033116040319</v>
      </c>
      <c r="P200" s="9">
        <f t="shared" si="27"/>
        <v>0.23911026325214635</v>
      </c>
      <c r="Q200" s="9">
        <f t="shared" si="30"/>
        <v>0.22907731718693286</v>
      </c>
      <c r="R200" s="9">
        <f t="shared" si="30"/>
        <v>0.94505462974765519</v>
      </c>
      <c r="S200" s="9">
        <f t="shared" si="30"/>
        <v>0.5594943759968668</v>
      </c>
      <c r="T200" s="9">
        <f t="shared" si="28"/>
        <v>1.7091090450246229</v>
      </c>
      <c r="U200" s="14">
        <f t="shared" si="31"/>
        <v>2.4784011328560321E-5</v>
      </c>
      <c r="W200" s="14">
        <f t="shared" si="29"/>
        <v>0.30840299280821987</v>
      </c>
      <c r="X200" s="16">
        <f t="shared" si="32"/>
        <v>0.29213453558277341</v>
      </c>
    </row>
    <row r="201" spans="1:24" x14ac:dyDescent="0.3">
      <c r="A201" s="9">
        <v>5</v>
      </c>
      <c r="B201" s="9">
        <v>0.95913394700955001</v>
      </c>
      <c r="C201" s="9">
        <v>0.97935384157593897</v>
      </c>
      <c r="D201" s="9">
        <v>0.93933151558969596</v>
      </c>
      <c r="E201" s="9">
        <v>0.68</v>
      </c>
      <c r="F201" s="9">
        <v>0.2</v>
      </c>
      <c r="G201" s="9">
        <v>1.61496418653056</v>
      </c>
      <c r="N201" s="9">
        <f t="shared" si="25"/>
        <v>-1.1957653253446492</v>
      </c>
      <c r="O201" s="9">
        <f t="shared" si="26"/>
        <v>2.7119976100801431</v>
      </c>
      <c r="P201" s="9">
        <f t="shared" si="27"/>
        <v>0.18589027480823594</v>
      </c>
      <c r="Q201" s="9">
        <f t="shared" si="30"/>
        <v>0.23222939804430673</v>
      </c>
      <c r="R201" s="9">
        <f t="shared" si="30"/>
        <v>0.9377308944422611</v>
      </c>
      <c r="S201" s="9">
        <f t="shared" si="30"/>
        <v>0.54633920712997486</v>
      </c>
      <c r="T201" s="9">
        <f t="shared" si="28"/>
        <v>1.6205877594150513</v>
      </c>
      <c r="U201" s="14">
        <f t="shared" si="31"/>
        <v>3.1624571987186193E-5</v>
      </c>
      <c r="W201" s="14">
        <f t="shared" si="29"/>
        <v>0.21731812875921322</v>
      </c>
      <c r="X201" s="16">
        <f t="shared" si="32"/>
        <v>0.3482165692214203</v>
      </c>
    </row>
    <row r="202" spans="1:24" x14ac:dyDescent="0.3">
      <c r="A202" s="9">
        <v>6</v>
      </c>
      <c r="B202" s="9">
        <v>0.92929286340991601</v>
      </c>
      <c r="C202" s="9">
        <v>0.96399837313655001</v>
      </c>
      <c r="D202" s="9">
        <v>0.89583680849456504</v>
      </c>
      <c r="E202" s="9">
        <v>0.625</v>
      </c>
      <c r="F202" s="9">
        <v>0.2</v>
      </c>
      <c r="G202" s="9">
        <v>1.5354016152743</v>
      </c>
      <c r="N202" s="9">
        <f t="shared" si="25"/>
        <v>-1.1978175994246976</v>
      </c>
      <c r="O202" s="9">
        <f t="shared" si="26"/>
        <v>2.5590118290922081</v>
      </c>
      <c r="P202" s="9">
        <f t="shared" si="27"/>
        <v>8.5660520641364257E-2</v>
      </c>
      <c r="Q202" s="9">
        <f t="shared" si="30"/>
        <v>0.23186368092768964</v>
      </c>
      <c r="R202" s="9">
        <f t="shared" si="30"/>
        <v>0.92817660939560342</v>
      </c>
      <c r="S202" s="9">
        <f t="shared" si="30"/>
        <v>0.52140204490089392</v>
      </c>
      <c r="T202" s="9">
        <f t="shared" si="28"/>
        <v>1.5414118412082156</v>
      </c>
      <c r="U202" s="14">
        <f t="shared" si="31"/>
        <v>3.6122815776712211E-5</v>
      </c>
      <c r="W202" s="14">
        <f t="shared" si="29"/>
        <v>0.14946833918301775</v>
      </c>
      <c r="X202" s="16">
        <f t="shared" si="32"/>
        <v>0.3914432467782652</v>
      </c>
    </row>
    <row r="203" spans="1:24" x14ac:dyDescent="0.3">
      <c r="A203" s="9">
        <v>7</v>
      </c>
      <c r="B203" s="9">
        <v>0.88629579591014296</v>
      </c>
      <c r="C203" s="9">
        <v>0.941432841954296</v>
      </c>
      <c r="D203" s="9">
        <v>0.83438796995583098</v>
      </c>
      <c r="E203" s="9">
        <v>0.57999999999999996</v>
      </c>
      <c r="F203" s="9">
        <v>0.2</v>
      </c>
      <c r="G203" s="9">
        <v>1.46759858529221</v>
      </c>
      <c r="N203" s="9">
        <f t="shared" si="25"/>
        <v>-1.2256211547094673</v>
      </c>
      <c r="O203" s="9">
        <f t="shared" si="26"/>
        <v>2.3768482635011177</v>
      </c>
      <c r="P203" s="9">
        <f t="shared" si="27"/>
        <v>-7.1705048268331961E-2</v>
      </c>
      <c r="Q203" s="9">
        <f t="shared" si="30"/>
        <v>0.22694874486712757</v>
      </c>
      <c r="R203" s="9">
        <f t="shared" si="30"/>
        <v>0.91504474530350355</v>
      </c>
      <c r="S203" s="9">
        <f t="shared" si="30"/>
        <v>0.48208141481237482</v>
      </c>
      <c r="T203" s="9">
        <f t="shared" si="28"/>
        <v>1.4726843457824907</v>
      </c>
      <c r="U203" s="14">
        <f t="shared" si="31"/>
        <v>2.5864959764500749E-5</v>
      </c>
      <c r="W203" s="14">
        <f t="shared" si="29"/>
        <v>0.10163874757963148</v>
      </c>
      <c r="X203" s="16">
        <f t="shared" si="32"/>
        <v>0.34653620828260351</v>
      </c>
    </row>
    <row r="204" spans="1:24" x14ac:dyDescent="0.3">
      <c r="A204" s="9">
        <v>8</v>
      </c>
      <c r="B204" s="9">
        <v>0.82493648944805298</v>
      </c>
      <c r="C204" s="9">
        <v>0.90826014414816902</v>
      </c>
      <c r="D204" s="9">
        <v>0.74925693481917399</v>
      </c>
      <c r="E204" s="9">
        <v>0.54500000000000004</v>
      </c>
      <c r="F204" s="9">
        <v>0.2</v>
      </c>
      <c r="G204" s="9">
        <v>1.4129493289931701</v>
      </c>
      <c r="N204" s="9">
        <f t="shared" si="25"/>
        <v>-1.2896890726380561</v>
      </c>
      <c r="O204" s="9">
        <f t="shared" si="26"/>
        <v>2.1518604499781686</v>
      </c>
      <c r="P204" s="9">
        <f t="shared" si="27"/>
        <v>-0.29936771416438918</v>
      </c>
      <c r="Q204" s="9">
        <f t="shared" si="30"/>
        <v>0.21590544315395543</v>
      </c>
      <c r="R204" s="9">
        <f t="shared" si="30"/>
        <v>0.89584250096487661</v>
      </c>
      <c r="S204" s="9">
        <f t="shared" si="30"/>
        <v>0.425712057986744</v>
      </c>
      <c r="T204" s="9">
        <f t="shared" si="28"/>
        <v>1.4163788963819082</v>
      </c>
      <c r="U204" s="14">
        <f t="shared" si="31"/>
        <v>1.1761932473896004E-5</v>
      </c>
      <c r="W204" s="14">
        <f t="shared" si="29"/>
        <v>6.9780013154651349E-2</v>
      </c>
      <c r="X204" s="16">
        <f t="shared" si="32"/>
        <v>0.24272401836107865</v>
      </c>
    </row>
    <row r="205" spans="1:24" x14ac:dyDescent="0.3">
      <c r="A205" s="9">
        <v>9</v>
      </c>
      <c r="B205" s="9">
        <v>0.73549094564436901</v>
      </c>
      <c r="C205" s="9">
        <v>0.85760768749141303</v>
      </c>
      <c r="D205" s="9">
        <v>0.63076268906494104</v>
      </c>
      <c r="E205" s="9">
        <v>0.52</v>
      </c>
      <c r="F205" s="9">
        <v>0.2</v>
      </c>
      <c r="G205" s="9">
        <v>1.3734454447037101</v>
      </c>
      <c r="N205" s="9">
        <f t="shared" si="25"/>
        <v>-1.4118521008557774</v>
      </c>
      <c r="O205" s="9">
        <f t="shared" si="26"/>
        <v>1.8596521883405976</v>
      </c>
      <c r="P205" s="9">
        <f t="shared" si="27"/>
        <v>-0.61632806642851667</v>
      </c>
      <c r="Q205" s="9">
        <f t="shared" si="30"/>
        <v>0.1959420957824104</v>
      </c>
      <c r="R205" s="9">
        <f t="shared" si="30"/>
        <v>0.86525640261689751</v>
      </c>
      <c r="S205" s="9">
        <f t="shared" si="30"/>
        <v>0.35061703535254612</v>
      </c>
      <c r="T205" s="9">
        <f t="shared" si="28"/>
        <v>1.3770130535105038</v>
      </c>
      <c r="U205" s="14">
        <f t="shared" si="31"/>
        <v>1.2727832598312274E-5</v>
      </c>
      <c r="W205" s="14">
        <f t="shared" si="29"/>
        <v>5.0469951523812215E-2</v>
      </c>
      <c r="X205" s="16">
        <f t="shared" si="32"/>
        <v>0.25975613524011315</v>
      </c>
    </row>
    <row r="206" spans="1:24" x14ac:dyDescent="0.3">
      <c r="A206" s="9">
        <v>10</v>
      </c>
      <c r="B206" s="9">
        <v>0.592782777626775</v>
      </c>
      <c r="C206" s="9">
        <v>0.769923877813109</v>
      </c>
      <c r="D206" s="9">
        <v>0.45639761485123198</v>
      </c>
      <c r="E206" s="9">
        <v>0.505</v>
      </c>
      <c r="F206" s="9">
        <v>0.2</v>
      </c>
      <c r="G206" s="9">
        <v>1.3580912461975501</v>
      </c>
      <c r="N206" s="9">
        <f t="shared" si="25"/>
        <v>-1.6543302430145641</v>
      </c>
      <c r="O206" s="9">
        <f t="shared" si="26"/>
        <v>1.4382493160464074</v>
      </c>
      <c r="P206" s="9">
        <f t="shared" si="27"/>
        <v>-1.0569150705129347</v>
      </c>
      <c r="Q206" s="9">
        <f t="shared" si="30"/>
        <v>0.1605245633548377</v>
      </c>
      <c r="R206" s="9">
        <f t="shared" si="30"/>
        <v>0.80818340159296076</v>
      </c>
      <c r="S206" s="9">
        <f t="shared" si="30"/>
        <v>0.25789942996699178</v>
      </c>
      <c r="T206" s="9">
        <f t="shared" si="28"/>
        <v>1.3617464989966002</v>
      </c>
      <c r="U206" s="14">
        <f t="shared" si="31"/>
        <v>1.3360873024963603E-5</v>
      </c>
      <c r="W206" s="14">
        <f t="shared" si="29"/>
        <v>4.380690236634098E-2</v>
      </c>
      <c r="X206" s="16">
        <f t="shared" si="32"/>
        <v>0.26914633381845704</v>
      </c>
    </row>
    <row r="207" spans="1:24" x14ac:dyDescent="0.3">
      <c r="A207" s="9">
        <v>11</v>
      </c>
      <c r="B207" s="9">
        <v>0.99798365800029598</v>
      </c>
      <c r="C207" s="9">
        <v>0.99899132028276205</v>
      </c>
      <c r="D207" s="9">
        <v>0.99697701212633705</v>
      </c>
      <c r="E207" s="9">
        <v>0.81</v>
      </c>
      <c r="F207" s="9">
        <v>0.2</v>
      </c>
      <c r="G207" s="9">
        <v>1.7929164013285399</v>
      </c>
      <c r="N207" s="9">
        <f t="shared" si="25"/>
        <v>-1.2332331843759754</v>
      </c>
      <c r="O207" s="9">
        <f t="shared" si="26"/>
        <v>2.9747275781445452</v>
      </c>
      <c r="P207" s="9">
        <f t="shared" si="27"/>
        <v>0.28877303621214312</v>
      </c>
      <c r="Q207" s="9">
        <f t="shared" si="30"/>
        <v>0.2256160438742203</v>
      </c>
      <c r="R207" s="9">
        <f t="shared" si="30"/>
        <v>0.95141925568133279</v>
      </c>
      <c r="S207" s="9">
        <f t="shared" si="30"/>
        <v>0.57169572538229574</v>
      </c>
      <c r="T207" s="9">
        <f t="shared" si="28"/>
        <v>1.7952328104021285</v>
      </c>
      <c r="U207" s="14">
        <f t="shared" si="31"/>
        <v>5.3657509962033337E-6</v>
      </c>
      <c r="W207" s="14">
        <f t="shared" si="29"/>
        <v>0.41489848453659905</v>
      </c>
      <c r="X207" s="16">
        <f t="shared" si="32"/>
        <v>0.12919782940644076</v>
      </c>
    </row>
    <row r="208" spans="1:24" x14ac:dyDescent="0.3">
      <c r="A208" s="9">
        <v>12</v>
      </c>
      <c r="B208" s="9">
        <v>0.99082969587065495</v>
      </c>
      <c r="C208" s="9">
        <v>0.99540428764932198</v>
      </c>
      <c r="D208" s="9">
        <v>0.986276127599925</v>
      </c>
      <c r="E208" s="9">
        <v>0.64</v>
      </c>
      <c r="F208" s="9">
        <v>0.2</v>
      </c>
      <c r="G208" s="9">
        <v>1.5731931041085001</v>
      </c>
      <c r="N208" s="9">
        <f t="shared" si="25"/>
        <v>-1.1310772414186603</v>
      </c>
      <c r="O208" s="9">
        <f t="shared" si="26"/>
        <v>2.7715424129447923</v>
      </c>
      <c r="P208" s="9">
        <f t="shared" si="27"/>
        <v>0.35157890860013163</v>
      </c>
      <c r="Q208" s="9">
        <f t="shared" si="30"/>
        <v>0.24396235461104038</v>
      </c>
      <c r="R208" s="9">
        <f t="shared" si="30"/>
        <v>0.94111851668339186</v>
      </c>
      <c r="S208" s="9">
        <f t="shared" si="30"/>
        <v>0.58700040770416972</v>
      </c>
      <c r="T208" s="9">
        <f t="shared" si="28"/>
        <v>1.5738621983216281</v>
      </c>
      <c r="U208" s="14">
        <f t="shared" si="31"/>
        <v>4.4768706604137275E-7</v>
      </c>
      <c r="W208" s="14">
        <f t="shared" si="29"/>
        <v>0.1801177731608678</v>
      </c>
      <c r="X208" s="16">
        <f t="shared" si="32"/>
        <v>4.253096529476335E-2</v>
      </c>
    </row>
    <row r="209" spans="1:24" x14ac:dyDescent="0.3">
      <c r="A209" s="9">
        <v>13</v>
      </c>
      <c r="B209" s="9">
        <v>0.976358383123614</v>
      </c>
      <c r="C209" s="9">
        <v>0.98810848752736302</v>
      </c>
      <c r="D209" s="9">
        <v>0.96474800523293602</v>
      </c>
      <c r="E209" s="9">
        <v>0.49</v>
      </c>
      <c r="F209" s="9">
        <v>0.2</v>
      </c>
      <c r="G209" s="9">
        <v>1.3619270391381</v>
      </c>
      <c r="N209" s="9">
        <f t="shared" si="25"/>
        <v>-1.0508848483004063</v>
      </c>
      <c r="O209" s="9">
        <f t="shared" si="26"/>
        <v>2.5660285979545092</v>
      </c>
      <c r="P209" s="9">
        <f t="shared" si="27"/>
        <v>0.37012902435296391</v>
      </c>
      <c r="Q209" s="9">
        <f t="shared" si="30"/>
        <v>0.25905522186058944</v>
      </c>
      <c r="R209" s="9">
        <f t="shared" si="30"/>
        <v>0.92864297774832072</v>
      </c>
      <c r="S209" s="9">
        <f t="shared" si="30"/>
        <v>0.59149015489730472</v>
      </c>
      <c r="T209" s="9">
        <f t="shared" si="28"/>
        <v>1.360777864002491</v>
      </c>
      <c r="U209" s="14">
        <f t="shared" si="31"/>
        <v>1.3206034923018964E-6</v>
      </c>
      <c r="W209" s="14">
        <f t="shared" si="29"/>
        <v>4.5427286156063208E-2</v>
      </c>
      <c r="X209" s="16">
        <f t="shared" si="32"/>
        <v>8.4378612259305014E-2</v>
      </c>
    </row>
    <row r="210" spans="1:24" x14ac:dyDescent="0.3">
      <c r="A210" s="9">
        <v>14</v>
      </c>
      <c r="B210" s="9">
        <v>0.95144310139704402</v>
      </c>
      <c r="C210" s="9">
        <v>0.97541944895365096</v>
      </c>
      <c r="D210" s="9">
        <v>0.92805610567545704</v>
      </c>
      <c r="E210" s="9">
        <v>0.36</v>
      </c>
      <c r="F210" s="9">
        <v>0.2</v>
      </c>
      <c r="G210" s="9">
        <v>1.1612838289869101</v>
      </c>
      <c r="N210" s="9">
        <f t="shared" si="25"/>
        <v>-0.99708179614914094</v>
      </c>
      <c r="O210" s="9">
        <f t="shared" si="26"/>
        <v>2.3486353316679276</v>
      </c>
      <c r="P210" s="9">
        <f t="shared" si="27"/>
        <v>0.3318138580799167</v>
      </c>
      <c r="Q210" s="9">
        <f t="shared" si="30"/>
        <v>0.26951556179238806</v>
      </c>
      <c r="R210" s="9">
        <f t="shared" si="30"/>
        <v>0.91282569531253765</v>
      </c>
      <c r="S210" s="9">
        <f t="shared" si="30"/>
        <v>0.58220065089200523</v>
      </c>
      <c r="T210" s="9">
        <f t="shared" si="28"/>
        <v>1.1610911178422509</v>
      </c>
      <c r="U210" s="14">
        <f t="shared" si="31"/>
        <v>3.7137585275832165E-8</v>
      </c>
      <c r="W210" s="14">
        <f t="shared" si="29"/>
        <v>1.5608923875590748E-4</v>
      </c>
      <c r="X210" s="16">
        <f t="shared" si="32"/>
        <v>1.6594663582566973E-2</v>
      </c>
    </row>
    <row r="211" spans="1:24" x14ac:dyDescent="0.3">
      <c r="A211" s="9">
        <v>15</v>
      </c>
      <c r="B211" s="9">
        <v>0.91157954485698101</v>
      </c>
      <c r="C211" s="9">
        <v>0.95476674892718205</v>
      </c>
      <c r="D211" s="9">
        <v>0.87034583843162105</v>
      </c>
      <c r="E211" s="9">
        <v>0.25</v>
      </c>
      <c r="F211" s="9">
        <v>0.2</v>
      </c>
      <c r="G211" s="9">
        <v>0.97557729281803696</v>
      </c>
      <c r="N211" s="9">
        <f t="shared" si="25"/>
        <v>-0.97686597175770506</v>
      </c>
      <c r="O211" s="9">
        <f t="shared" si="26"/>
        <v>2.1062407518124386</v>
      </c>
      <c r="P211" s="9">
        <f t="shared" si="27"/>
        <v>0.22050568501114054</v>
      </c>
      <c r="Q211" s="9">
        <f t="shared" si="30"/>
        <v>0.27351408578857223</v>
      </c>
      <c r="R211" s="9">
        <f t="shared" si="30"/>
        <v>0.89150826873579136</v>
      </c>
      <c r="S211" s="9">
        <f t="shared" si="30"/>
        <v>0.55490413545578932</v>
      </c>
      <c r="T211" s="9">
        <f t="shared" si="28"/>
        <v>0.97840989560305036</v>
      </c>
      <c r="U211" s="14">
        <f t="shared" si="31"/>
        <v>8.0236385376656977E-6</v>
      </c>
      <c r="W211" s="14">
        <f t="shared" si="29"/>
        <v>3.000273237812193E-2</v>
      </c>
      <c r="X211" s="16">
        <f t="shared" si="32"/>
        <v>0.29035144686805836</v>
      </c>
    </row>
    <row r="212" spans="1:24" x14ac:dyDescent="0.3">
      <c r="A212" s="9">
        <v>16</v>
      </c>
      <c r="B212" s="9">
        <v>0.85026083486688397</v>
      </c>
      <c r="C212" s="9">
        <v>0.92209589244659595</v>
      </c>
      <c r="D212" s="9">
        <v>0.78402202333896698</v>
      </c>
      <c r="E212" s="9">
        <v>0.16</v>
      </c>
      <c r="F212" s="9">
        <v>0.2</v>
      </c>
      <c r="G212" s="9">
        <v>0.80885995964979096</v>
      </c>
      <c r="N212" s="9">
        <f t="shared" si="25"/>
        <v>-1.0024507866895416</v>
      </c>
      <c r="O212" s="9">
        <f t="shared" si="26"/>
        <v>1.8211956374855396</v>
      </c>
      <c r="P212" s="9">
        <f t="shared" si="27"/>
        <v>1.7430807284171179E-2</v>
      </c>
      <c r="Q212" s="9">
        <f t="shared" si="30"/>
        <v>0.26845984040944498</v>
      </c>
      <c r="R212" s="9">
        <f t="shared" si="30"/>
        <v>0.86070953221288793</v>
      </c>
      <c r="S212" s="9">
        <f t="shared" si="30"/>
        <v>0.50435759148991144</v>
      </c>
      <c r="T212" s="9">
        <f t="shared" si="28"/>
        <v>0.81501353212594874</v>
      </c>
      <c r="U212" s="14">
        <f t="shared" si="31"/>
        <v>3.7866454219326539E-5</v>
      </c>
      <c r="W212" s="14">
        <f t="shared" si="29"/>
        <v>0.11555260983828693</v>
      </c>
      <c r="X212" s="16">
        <f t="shared" si="32"/>
        <v>0.76077105841931714</v>
      </c>
    </row>
    <row r="213" spans="1:24" x14ac:dyDescent="0.3">
      <c r="A213" s="9">
        <v>17</v>
      </c>
      <c r="B213" s="9">
        <v>0.758040166935394</v>
      </c>
      <c r="C213" s="9">
        <v>0.87065502177119103</v>
      </c>
      <c r="D213" s="9">
        <v>0.65999147804657299</v>
      </c>
      <c r="E213" s="9">
        <v>0.09</v>
      </c>
      <c r="F213" s="9">
        <v>0.2</v>
      </c>
      <c r="G213" s="9">
        <v>0.66710428636209096</v>
      </c>
      <c r="N213" s="9">
        <f t="shared" si="25"/>
        <v>-1.0956809319361216</v>
      </c>
      <c r="O213" s="9">
        <f t="shared" si="26"/>
        <v>1.470445505585533</v>
      </c>
      <c r="P213" s="9">
        <f t="shared" si="27"/>
        <v>-0.29432713569295194</v>
      </c>
      <c r="Q213" s="9">
        <f t="shared" si="30"/>
        <v>0.25055003207844478</v>
      </c>
      <c r="R213" s="9">
        <f t="shared" si="30"/>
        <v>0.81312509124208621</v>
      </c>
      <c r="S213" s="9">
        <f t="shared" si="30"/>
        <v>0.42694484418442913</v>
      </c>
      <c r="T213" s="9">
        <f t="shared" si="28"/>
        <v>0.67456355977356341</v>
      </c>
      <c r="U213" s="14">
        <f t="shared" si="31"/>
        <v>5.564075982709993E-5</v>
      </c>
      <c r="W213" s="14">
        <f t="shared" si="29"/>
        <v>0.23202137825107153</v>
      </c>
      <c r="X213" s="16">
        <f t="shared" si="32"/>
        <v>1.1181570204188001</v>
      </c>
    </row>
    <row r="214" spans="1:24" x14ac:dyDescent="0.3">
      <c r="A214" s="9">
        <v>18</v>
      </c>
      <c r="B214" s="9">
        <v>0.62081341767015497</v>
      </c>
      <c r="C214" s="9">
        <v>0.78791713883514103</v>
      </c>
      <c r="D214" s="9">
        <v>0.48914953180113402</v>
      </c>
      <c r="E214" s="9">
        <v>0.04</v>
      </c>
      <c r="F214" s="9">
        <v>0.2</v>
      </c>
      <c r="G214" s="9">
        <v>0.55906950425681001</v>
      </c>
      <c r="N214" s="9">
        <f t="shared" si="25"/>
        <v>-1.2988692663237245</v>
      </c>
      <c r="O214" s="9">
        <f t="shared" si="26"/>
        <v>1.0239078656105545</v>
      </c>
      <c r="P214" s="9">
        <f t="shared" si="27"/>
        <v>-0.71525033562313278</v>
      </c>
      <c r="Q214" s="9">
        <f t="shared" si="30"/>
        <v>0.21435537908892266</v>
      </c>
      <c r="R214" s="9">
        <f t="shared" si="30"/>
        <v>0.73573310501888289</v>
      </c>
      <c r="S214" s="9">
        <f t="shared" si="30"/>
        <v>0.32843974760602845</v>
      </c>
      <c r="T214" s="9">
        <f t="shared" si="28"/>
        <v>0.56895594115645542</v>
      </c>
      <c r="U214" s="14">
        <f t="shared" si="31"/>
        <v>9.7741634570670395E-5</v>
      </c>
      <c r="W214" s="14">
        <f t="shared" si="29"/>
        <v>0.34777057104174158</v>
      </c>
      <c r="X214" s="16">
        <f t="shared" si="32"/>
        <v>1.7683734892297136</v>
      </c>
    </row>
    <row r="215" spans="1:24" x14ac:dyDescent="0.3">
      <c r="A215" s="9">
        <v>19</v>
      </c>
      <c r="B215" s="9">
        <v>0.41411550520763202</v>
      </c>
      <c r="C215" s="9">
        <v>0.64351806906071596</v>
      </c>
      <c r="D215" s="9">
        <v>0.26649081027931798</v>
      </c>
      <c r="E215" s="9">
        <v>0.01</v>
      </c>
      <c r="F215" s="9">
        <v>0.2</v>
      </c>
      <c r="G215" s="9">
        <v>0.50543808075813601</v>
      </c>
      <c r="N215" s="9">
        <f t="shared" si="25"/>
        <v>-1.7099603325967314</v>
      </c>
      <c r="O215" s="9">
        <f t="shared" si="26"/>
        <v>0.43002637460902382</v>
      </c>
      <c r="P215" s="9">
        <f t="shared" si="27"/>
        <v>-1.1811031216259709</v>
      </c>
      <c r="Q215" s="9">
        <f t="shared" si="30"/>
        <v>0.15316886088022669</v>
      </c>
      <c r="R215" s="9">
        <f t="shared" si="30"/>
        <v>0.60587996642727437</v>
      </c>
      <c r="S215" s="9">
        <f t="shared" si="30"/>
        <v>0.23485391000532463</v>
      </c>
      <c r="T215" s="9">
        <f t="shared" si="28"/>
        <v>0.51520795843891631</v>
      </c>
      <c r="U215" s="14">
        <f t="shared" si="31"/>
        <v>9.5450509897409115E-5</v>
      </c>
      <c r="W215" s="14">
        <f t="shared" si="29"/>
        <v>0.41390202793976094</v>
      </c>
      <c r="X215" s="16">
        <f t="shared" si="32"/>
        <v>1.9329524332883459</v>
      </c>
    </row>
    <row r="216" spans="1:24" x14ac:dyDescent="0.3">
      <c r="A216" s="9">
        <v>20</v>
      </c>
      <c r="B216" s="9">
        <v>0.60462132125511903</v>
      </c>
      <c r="C216" s="9">
        <v>0.77757399728586496</v>
      </c>
      <c r="D216" s="9">
        <v>0.47013781761260398</v>
      </c>
      <c r="E216" s="9">
        <v>0.13</v>
      </c>
      <c r="F216" s="9">
        <v>0.2</v>
      </c>
      <c r="G216" s="9">
        <v>0.75194344076594899</v>
      </c>
      <c r="N216" s="9">
        <f t="shared" si="25"/>
        <v>-1.3877376878837446</v>
      </c>
      <c r="O216" s="9">
        <f t="shared" si="26"/>
        <v>1.0740441127833174</v>
      </c>
      <c r="P216" s="9">
        <f t="shared" si="27"/>
        <v>-0.81261946413597963</v>
      </c>
      <c r="Q216" s="9">
        <f t="shared" si="30"/>
        <v>0.19976916770778327</v>
      </c>
      <c r="R216" s="9">
        <f t="shared" si="30"/>
        <v>0.74536523320474501</v>
      </c>
      <c r="S216" s="9">
        <f t="shared" si="30"/>
        <v>0.30733258484221271</v>
      </c>
      <c r="T216" s="9">
        <f t="shared" si="28"/>
        <v>0.73652975689827438</v>
      </c>
      <c r="U216" s="14">
        <f t="shared" si="31"/>
        <v>2.3758165037261254E-4</v>
      </c>
      <c r="W216" s="14">
        <f t="shared" si="29"/>
        <v>0.15748739880254189</v>
      </c>
      <c r="X216" s="16">
        <f t="shared" si="32"/>
        <v>2.0498461761929638</v>
      </c>
    </row>
    <row r="217" spans="1:24" x14ac:dyDescent="0.3">
      <c r="A217" s="9">
        <v>21</v>
      </c>
      <c r="B217" s="9">
        <v>0.53604508929966299</v>
      </c>
      <c r="C217" s="9">
        <v>0.73215100170638503</v>
      </c>
      <c r="D217" s="9">
        <v>0.392465949090537</v>
      </c>
      <c r="E217" s="9">
        <v>3.6249999999999998E-2</v>
      </c>
      <c r="F217" s="9">
        <v>0.2</v>
      </c>
      <c r="G217" s="9">
        <v>0.55537814625814497</v>
      </c>
      <c r="N217" s="9">
        <f t="shared" si="25"/>
        <v>-1.4611649362943657</v>
      </c>
      <c r="O217" s="9">
        <f t="shared" si="26"/>
        <v>0.78605521113679422</v>
      </c>
      <c r="P217" s="9">
        <f t="shared" si="27"/>
        <v>-0.9418629215930493</v>
      </c>
      <c r="Q217" s="9">
        <f t="shared" si="30"/>
        <v>0.18828921590393108</v>
      </c>
      <c r="R217" s="9">
        <f t="shared" si="30"/>
        <v>0.68698368094854723</v>
      </c>
      <c r="S217" s="9">
        <f t="shared" si="30"/>
        <v>0.28052419474216089</v>
      </c>
      <c r="T217" s="9">
        <f t="shared" si="28"/>
        <v>0.56164127340301528</v>
      </c>
      <c r="U217" s="14">
        <f t="shared" si="31"/>
        <v>3.9226761632811412E-5</v>
      </c>
      <c r="W217" s="14">
        <f t="shared" si="29"/>
        <v>0.35213793803105736</v>
      </c>
      <c r="X217" s="16">
        <f t="shared" si="32"/>
        <v>1.1277230094608652</v>
      </c>
    </row>
    <row r="218" spans="1:24" x14ac:dyDescent="0.3">
      <c r="A218" s="9">
        <v>22</v>
      </c>
      <c r="B218" s="9">
        <v>0.482056160699321</v>
      </c>
      <c r="C218" s="9">
        <v>0.69430264344831705</v>
      </c>
      <c r="D218" s="9">
        <v>0.33469286666408499</v>
      </c>
      <c r="E218" s="9">
        <v>1.8888888888889E-2</v>
      </c>
      <c r="F218" s="9">
        <v>0.2</v>
      </c>
      <c r="G218" s="9">
        <v>0.51803805892169097</v>
      </c>
      <c r="N218" s="9">
        <f t="shared" si="25"/>
        <v>-1.5631418040429015</v>
      </c>
      <c r="O218" s="9">
        <f t="shared" si="26"/>
        <v>0.62150623614952516</v>
      </c>
      <c r="P218" s="9">
        <f t="shared" si="27"/>
        <v>-1.0562035286176865</v>
      </c>
      <c r="Q218" s="9">
        <f t="shared" si="30"/>
        <v>0.17319628074338619</v>
      </c>
      <c r="R218" s="9">
        <f t="shared" si="30"/>
        <v>0.65056104091152533</v>
      </c>
      <c r="S218" s="9">
        <f t="shared" si="30"/>
        <v>0.25803563351643127</v>
      </c>
      <c r="T218" s="9">
        <f t="shared" si="28"/>
        <v>0.53006523224862467</v>
      </c>
      <c r="U218" s="14">
        <f t="shared" si="31"/>
        <v>1.4465289823610556E-4</v>
      </c>
      <c r="W218" s="14">
        <f t="shared" si="29"/>
        <v>0.39784834054212997</v>
      </c>
      <c r="X218" s="16">
        <f t="shared" si="32"/>
        <v>2.3216775524116051</v>
      </c>
    </row>
    <row r="219" spans="1:24" x14ac:dyDescent="0.3">
      <c r="A219" s="9">
        <v>23</v>
      </c>
      <c r="B219" s="9">
        <v>0.44329834371454502</v>
      </c>
      <c r="C219" s="9">
        <v>0.66580653625099295</v>
      </c>
      <c r="D219" s="9">
        <v>0.29515093475438398</v>
      </c>
      <c r="E219" s="9">
        <v>1.2812499999999999E-2</v>
      </c>
      <c r="F219" s="9">
        <v>0.2</v>
      </c>
      <c r="G219" s="9">
        <v>0.50740114839592498</v>
      </c>
      <c r="N219" s="9">
        <f t="shared" si="25"/>
        <v>-1.6448112737920892</v>
      </c>
      <c r="O219" s="9">
        <f t="shared" si="26"/>
        <v>0.51105128414964263</v>
      </c>
      <c r="P219" s="9">
        <f t="shared" si="27"/>
        <v>-1.1306539010927459</v>
      </c>
      <c r="Q219" s="9">
        <f t="shared" si="30"/>
        <v>0.16181145445980111</v>
      </c>
      <c r="R219" s="9">
        <f t="shared" si="30"/>
        <v>0.62505288766036282</v>
      </c>
      <c r="S219" s="9">
        <f t="shared" si="30"/>
        <v>0.24404044596391078</v>
      </c>
      <c r="T219" s="9">
        <f t="shared" si="28"/>
        <v>0.51979174338962386</v>
      </c>
      <c r="U219" s="14">
        <f t="shared" si="31"/>
        <v>1.5352684429787569E-4</v>
      </c>
      <c r="W219" s="14">
        <f t="shared" si="29"/>
        <v>0.41137999388448449</v>
      </c>
      <c r="X219" s="16">
        <f t="shared" si="32"/>
        <v>2.4419722014563714</v>
      </c>
    </row>
    <row r="220" spans="1:24" x14ac:dyDescent="0.3">
      <c r="A220" s="9">
        <v>24</v>
      </c>
      <c r="B220" s="9">
        <v>0.75641498946707797</v>
      </c>
      <c r="C220" s="9">
        <v>0.86972121364669397</v>
      </c>
      <c r="D220" s="9">
        <v>0.65787016265985798</v>
      </c>
      <c r="E220" s="9">
        <v>0.24222222222222201</v>
      </c>
      <c r="F220" s="9">
        <v>0.2</v>
      </c>
      <c r="G220" s="9">
        <v>0.95442853319856202</v>
      </c>
      <c r="N220" s="9">
        <f t="shared" si="25"/>
        <v>-1.1973516786947969</v>
      </c>
      <c r="O220" s="9">
        <f t="shared" si="26"/>
        <v>1.6268428180850385</v>
      </c>
      <c r="P220" s="9">
        <f t="shared" si="27"/>
        <v>-0.38583254716845045</v>
      </c>
      <c r="Q220" s="9">
        <f t="shared" si="30"/>
        <v>0.23194667313429909</v>
      </c>
      <c r="R220" s="9">
        <f t="shared" si="30"/>
        <v>0.83573667734489332</v>
      </c>
      <c r="S220" s="9">
        <f t="shared" si="30"/>
        <v>0.40472093138851051</v>
      </c>
      <c r="T220" s="9">
        <f t="shared" si="28"/>
        <v>0.94143666810758975</v>
      </c>
      <c r="U220" s="14">
        <f t="shared" si="31"/>
        <v>1.6878855854202408E-4</v>
      </c>
      <c r="W220" s="14">
        <f t="shared" si="29"/>
        <v>3.7776481269548905E-2</v>
      </c>
      <c r="X220" s="16">
        <f t="shared" si="32"/>
        <v>1.361219267767785</v>
      </c>
    </row>
    <row r="221" spans="1:24" x14ac:dyDescent="0.3">
      <c r="A221" s="9">
        <v>25</v>
      </c>
      <c r="B221" s="9">
        <v>0.84330333318766404</v>
      </c>
      <c r="C221" s="9">
        <v>0.91831548674062102</v>
      </c>
      <c r="D221" s="9">
        <v>0.77441851088621805</v>
      </c>
      <c r="E221" s="9">
        <v>0.32624999999999998</v>
      </c>
      <c r="F221" s="9">
        <v>0.2</v>
      </c>
      <c r="G221" s="9">
        <v>1.09552519175941</v>
      </c>
      <c r="N221" s="9">
        <f t="shared" si="25"/>
        <v>-1.1206223310297729</v>
      </c>
      <c r="O221" s="9">
        <f t="shared" si="26"/>
        <v>1.975998102506858</v>
      </c>
      <c r="P221" s="9">
        <f t="shared" si="27"/>
        <v>-0.10391118804700811</v>
      </c>
      <c r="Q221" s="9">
        <f t="shared" si="30"/>
        <v>0.24589586578241748</v>
      </c>
      <c r="R221" s="9">
        <f t="shared" si="30"/>
        <v>0.87825391061938951</v>
      </c>
      <c r="S221" s="9">
        <f t="shared" si="30"/>
        <v>0.47404555245794139</v>
      </c>
      <c r="T221" s="9">
        <f t="shared" si="28"/>
        <v>1.0897263914747684</v>
      </c>
      <c r="U221" s="14">
        <f t="shared" si="31"/>
        <v>3.3626084741159923E-5</v>
      </c>
      <c r="W221" s="14">
        <f t="shared" si="29"/>
        <v>2.8371676109579568E-3</v>
      </c>
      <c r="X221" s="16">
        <f t="shared" si="32"/>
        <v>0.52931692746643111</v>
      </c>
    </row>
    <row r="222" spans="1:24" x14ac:dyDescent="0.3">
      <c r="A222" s="9">
        <v>26</v>
      </c>
      <c r="B222" s="9">
        <v>0.82722243711388799</v>
      </c>
      <c r="C222" s="9">
        <v>0.90951769477778099</v>
      </c>
      <c r="D222" s="9">
        <v>0.75237344407228102</v>
      </c>
      <c r="E222" s="9">
        <v>0.17</v>
      </c>
      <c r="F222" s="9">
        <v>0.2</v>
      </c>
      <c r="G222" s="9">
        <v>0.82682450022601695</v>
      </c>
      <c r="N222" s="9">
        <f t="shared" si="25"/>
        <v>-1.0422329936371821</v>
      </c>
      <c r="O222" s="9">
        <f t="shared" si="26"/>
        <v>1.7617078537433863</v>
      </c>
      <c r="P222" s="9">
        <f t="shared" si="27"/>
        <v>-7.9420378165543759E-2</v>
      </c>
      <c r="Q222" s="9">
        <f t="shared" si="30"/>
        <v>0.26071936614158631</v>
      </c>
      <c r="R222" s="9">
        <f t="shared" si="30"/>
        <v>0.85342342781250846</v>
      </c>
      <c r="S222" s="9">
        <f t="shared" si="30"/>
        <v>0.4801553353735773</v>
      </c>
      <c r="T222" s="9">
        <f t="shared" si="28"/>
        <v>0.82796985865258155</v>
      </c>
      <c r="U222" s="14">
        <f t="shared" si="31"/>
        <v>1.3118459253025412E-6</v>
      </c>
      <c r="W222" s="14">
        <f t="shared" si="29"/>
        <v>0.10366195116972328</v>
      </c>
      <c r="X222" s="16">
        <f t="shared" si="32"/>
        <v>0.13852497431456279</v>
      </c>
    </row>
    <row r="223" spans="1:24" x14ac:dyDescent="0.3">
      <c r="A223" s="9">
        <v>27</v>
      </c>
      <c r="B223" s="9">
        <v>0.79294453563825096</v>
      </c>
      <c r="C223" s="9">
        <v>0.89047433182447799</v>
      </c>
      <c r="D223" s="9">
        <v>0.70609675554634299</v>
      </c>
      <c r="E223" s="9">
        <v>0.1153125</v>
      </c>
      <c r="F223" s="9">
        <v>0.2</v>
      </c>
      <c r="G223" s="9">
        <v>0.71960667201457296</v>
      </c>
      <c r="N223" s="9">
        <f t="shared" si="25"/>
        <v>-1.0578521184881864</v>
      </c>
      <c r="O223" s="9">
        <f t="shared" si="26"/>
        <v>1.6007415790567359</v>
      </c>
      <c r="P223" s="9">
        <f t="shared" si="27"/>
        <v>-0.18010051858782722</v>
      </c>
      <c r="Q223" s="9">
        <f t="shared" si="30"/>
        <v>0.25772013156065776</v>
      </c>
      <c r="R223" s="9">
        <f t="shared" si="30"/>
        <v>0.83212200551697213</v>
      </c>
      <c r="S223" s="9">
        <f t="shared" si="30"/>
        <v>0.45509618054792783</v>
      </c>
      <c r="T223" s="9">
        <f t="shared" si="28"/>
        <v>0.72586551592690329</v>
      </c>
      <c r="U223" s="14">
        <f t="shared" si="31"/>
        <v>3.9173127118914508E-5</v>
      </c>
      <c r="W223" s="14">
        <f t="shared" si="29"/>
        <v>0.18419855313299771</v>
      </c>
      <c r="X223" s="16">
        <f t="shared" si="32"/>
        <v>0.8697590163816028</v>
      </c>
    </row>
    <row r="224" spans="1:24" x14ac:dyDescent="0.3">
      <c r="A224" s="9">
        <v>28</v>
      </c>
      <c r="B224" s="9">
        <v>0.723369663208</v>
      </c>
      <c r="C224" s="9">
        <v>0.85051141274412101</v>
      </c>
      <c r="D224" s="9">
        <v>0.61523415419127503</v>
      </c>
      <c r="E224" s="9">
        <v>0.1</v>
      </c>
      <c r="F224" s="9">
        <v>0.2</v>
      </c>
      <c r="G224" s="9">
        <v>0.68820790978767099</v>
      </c>
      <c r="N224" s="9">
        <f t="shared" si="25"/>
        <v>-1.1583391884685199</v>
      </c>
      <c r="O224" s="9">
        <f t="shared" si="26"/>
        <v>1.3796427608512032</v>
      </c>
      <c r="P224" s="9">
        <f t="shared" si="27"/>
        <v>-0.42202355384121454</v>
      </c>
      <c r="Q224" s="9">
        <f t="shared" si="30"/>
        <v>0.23896919423526924</v>
      </c>
      <c r="R224" s="9">
        <f t="shared" si="30"/>
        <v>0.79893361994858036</v>
      </c>
      <c r="S224" s="9">
        <f t="shared" si="30"/>
        <v>0.39603263301517178</v>
      </c>
      <c r="T224" s="9">
        <f t="shared" si="28"/>
        <v>0.68823690243627678</v>
      </c>
      <c r="U224" s="14">
        <f t="shared" si="31"/>
        <v>8.4057367317856479E-10</v>
      </c>
      <c r="W224" s="14">
        <f t="shared" si="29"/>
        <v>0.21213610233261218</v>
      </c>
      <c r="X224" s="16">
        <f t="shared" si="32"/>
        <v>4.2127746853026721E-3</v>
      </c>
    </row>
    <row r="225" spans="1:24" x14ac:dyDescent="0.3">
      <c r="A225" s="9">
        <v>29</v>
      </c>
      <c r="B225" s="9">
        <v>0.90058022766249901</v>
      </c>
      <c r="C225" s="9">
        <v>0.94898905560733404</v>
      </c>
      <c r="D225" s="9">
        <v>0.85464077974807295</v>
      </c>
      <c r="E225" s="9">
        <v>0.4</v>
      </c>
      <c r="F225" s="9">
        <v>0.2</v>
      </c>
      <c r="G225" s="9">
        <v>1.21555294715971</v>
      </c>
      <c r="N225" s="9">
        <f t="shared" si="25"/>
        <v>-1.0891441312490311</v>
      </c>
      <c r="O225" s="9">
        <f t="shared" si="26"/>
        <v>2.2306821015260461</v>
      </c>
      <c r="P225" s="9">
        <f t="shared" si="27"/>
        <v>8.9437810157169062E-2</v>
      </c>
      <c r="Q225" s="9">
        <f t="shared" si="30"/>
        <v>0.25177947831771258</v>
      </c>
      <c r="R225" s="9">
        <f t="shared" si="30"/>
        <v>0.90297113726444189</v>
      </c>
      <c r="S225" s="9">
        <f t="shared" si="30"/>
        <v>0.52234455978655991</v>
      </c>
      <c r="T225" s="9">
        <f t="shared" si="28"/>
        <v>1.2135756506389246</v>
      </c>
      <c r="U225" s="14">
        <f t="shared" si="31"/>
        <v>3.9097015311099548E-6</v>
      </c>
      <c r="W225" s="14">
        <f t="shared" si="29"/>
        <v>4.4572562510353363E-3</v>
      </c>
      <c r="X225" s="16">
        <f t="shared" si="32"/>
        <v>0.16266642480737467</v>
      </c>
    </row>
    <row r="226" spans="1:24" x14ac:dyDescent="0.3">
      <c r="A226" s="9">
        <v>30</v>
      </c>
      <c r="B226" s="9">
        <v>0.93966736106488902</v>
      </c>
      <c r="C226" s="9">
        <v>0.96936441087182901</v>
      </c>
      <c r="D226" s="9">
        <v>0.91088009787415303</v>
      </c>
      <c r="E226" s="9">
        <v>0.47222222222222199</v>
      </c>
      <c r="F226" s="9">
        <v>0.2</v>
      </c>
      <c r="G226" s="9">
        <v>1.3281812683190799</v>
      </c>
      <c r="N226" s="9">
        <f t="shared" si="25"/>
        <v>-1.0850444080896717</v>
      </c>
      <c r="O226" s="9">
        <f t="shared" si="26"/>
        <v>2.4300527014942981</v>
      </c>
      <c r="P226" s="9">
        <f t="shared" si="27"/>
        <v>0.21683464880405967</v>
      </c>
      <c r="Q226" s="9">
        <f t="shared" si="30"/>
        <v>0.25255259678224867</v>
      </c>
      <c r="R226" s="9">
        <f t="shared" si="30"/>
        <v>0.91909045192249206</v>
      </c>
      <c r="S226" s="9">
        <f t="shared" si="30"/>
        <v>0.55399726084412215</v>
      </c>
      <c r="T226" s="9">
        <f t="shared" si="28"/>
        <v>1.3282295725712743</v>
      </c>
      <c r="U226" s="14">
        <f t="shared" si="31"/>
        <v>2.333300780057831E-9</v>
      </c>
      <c r="W226" s="14">
        <f t="shared" si="29"/>
        <v>3.2181133474106761E-2</v>
      </c>
      <c r="X226" s="16">
        <f t="shared" si="32"/>
        <v>3.6368719651880366E-3</v>
      </c>
    </row>
    <row r="227" spans="1:24" x14ac:dyDescent="0.3">
      <c r="A227" s="9">
        <v>31</v>
      </c>
      <c r="B227" s="9">
        <v>0.93311773293603195</v>
      </c>
      <c r="C227" s="9">
        <v>0.96598019282800596</v>
      </c>
      <c r="D227" s="9">
        <v>0.90137324759278004</v>
      </c>
      <c r="E227" s="9">
        <v>0.3203125</v>
      </c>
      <c r="F227" s="9">
        <v>0.2</v>
      </c>
      <c r="G227" s="9">
        <v>1.09554996589509</v>
      </c>
      <c r="N227" s="9">
        <f t="shared" si="25"/>
        <v>-0.99455034537224041</v>
      </c>
      <c r="O227" s="9">
        <f t="shared" si="26"/>
        <v>2.2484727225247614</v>
      </c>
      <c r="P227" s="9">
        <f t="shared" si="27"/>
        <v>0.27372989941998693</v>
      </c>
      <c r="Q227" s="9">
        <f t="shared" si="30"/>
        <v>0.2700142367245324</v>
      </c>
      <c r="R227" s="9">
        <f t="shared" si="30"/>
        <v>0.90451871384357052</v>
      </c>
      <c r="S227" s="9">
        <f t="shared" si="30"/>
        <v>0.5680083596815767</v>
      </c>
      <c r="T227" s="9">
        <f t="shared" si="28"/>
        <v>1.0956597372297758</v>
      </c>
      <c r="U227" s="14">
        <f t="shared" si="31"/>
        <v>1.2049745918705287E-8</v>
      </c>
      <c r="W227" s="14">
        <f t="shared" si="29"/>
        <v>2.8345290326064745E-3</v>
      </c>
      <c r="X227" s="16">
        <f t="shared" si="32"/>
        <v>1.0019746985809961E-2</v>
      </c>
    </row>
    <row r="228" spans="1:24" x14ac:dyDescent="0.3">
      <c r="A228" s="9">
        <v>32</v>
      </c>
      <c r="B228" s="9">
        <v>0.67803485561868704</v>
      </c>
      <c r="C228" s="9">
        <v>0.82342871920931104</v>
      </c>
      <c r="D228" s="9">
        <v>0.55831337274136505</v>
      </c>
      <c r="E228" s="9">
        <v>6.0816326530612003E-2</v>
      </c>
      <c r="F228" s="9">
        <v>0.2</v>
      </c>
      <c r="G228" s="9">
        <v>0.60472580501676998</v>
      </c>
      <c r="N228" s="9">
        <f t="shared" si="25"/>
        <v>-1.2096737730173019</v>
      </c>
      <c r="O228" s="9">
        <f t="shared" si="26"/>
        <v>1.2076134815086068</v>
      </c>
      <c r="P228" s="9">
        <f t="shared" si="27"/>
        <v>-0.55096711990495961</v>
      </c>
      <c r="Q228" s="9">
        <f t="shared" si="30"/>
        <v>0.2297587781490498</v>
      </c>
      <c r="R228" s="9">
        <f t="shared" si="30"/>
        <v>0.76987640972832649</v>
      </c>
      <c r="S228" s="9">
        <f t="shared" si="30"/>
        <v>0.36564005890068113</v>
      </c>
      <c r="T228" s="9">
        <f t="shared" si="28"/>
        <v>0.61140875182422871</v>
      </c>
      <c r="U228" s="14">
        <f t="shared" si="31"/>
        <v>4.4661778031322885E-5</v>
      </c>
      <c r="W228" s="14">
        <f t="shared" si="29"/>
        <v>0.29600613236394907</v>
      </c>
      <c r="X228" s="16">
        <f t="shared" si="32"/>
        <v>1.1051201638854167</v>
      </c>
    </row>
    <row r="229" spans="1:24" x14ac:dyDescent="0.3">
      <c r="A229" s="9">
        <v>33</v>
      </c>
      <c r="B229" s="9">
        <v>0.89158042542455795</v>
      </c>
      <c r="C229" s="9">
        <v>0.94423536548074605</v>
      </c>
      <c r="D229" s="9">
        <v>0.84186176885623698</v>
      </c>
      <c r="E229" s="9">
        <v>0.24326530612244901</v>
      </c>
      <c r="F229" s="9">
        <v>0.2</v>
      </c>
      <c r="G229" s="9">
        <v>0.96226223658402799</v>
      </c>
      <c r="N229" s="9">
        <f t="shared" si="25"/>
        <v>-0.99924295653364759</v>
      </c>
      <c r="O229" s="9">
        <f t="shared" si="26"/>
        <v>2.036701653686471</v>
      </c>
      <c r="P229" s="9">
        <f t="shared" si="27"/>
        <v>0.13982772201104726</v>
      </c>
      <c r="Q229" s="9">
        <f t="shared" si="30"/>
        <v>0.2690902911828667</v>
      </c>
      <c r="R229" s="9">
        <f t="shared" si="30"/>
        <v>0.88459698263441844</v>
      </c>
      <c r="S229" s="9">
        <f t="shared" si="30"/>
        <v>0.53490008575611969</v>
      </c>
      <c r="T229" s="9">
        <f t="shared" si="28"/>
        <v>0.96354361275493761</v>
      </c>
      <c r="U229" s="14">
        <f t="shared" si="31"/>
        <v>1.6419248913750011E-6</v>
      </c>
      <c r="W229" s="14">
        <f t="shared" si="29"/>
        <v>3.4792703926679693E-2</v>
      </c>
      <c r="X229" s="16">
        <f t="shared" si="32"/>
        <v>0.1331628866013102</v>
      </c>
    </row>
    <row r="230" spans="1:24" x14ac:dyDescent="0.3">
      <c r="A230" s="9">
        <v>34</v>
      </c>
      <c r="B230" s="9">
        <v>0.96611717808573405</v>
      </c>
      <c r="C230" s="9">
        <v>0.98291259941346498</v>
      </c>
      <c r="D230" s="9">
        <v>0.94960874685024999</v>
      </c>
      <c r="E230" s="9">
        <v>0.54734693877550999</v>
      </c>
      <c r="F230" s="9">
        <v>0.2</v>
      </c>
      <c r="G230" s="9">
        <v>1.4402788368549999</v>
      </c>
      <c r="N230" s="9">
        <f t="shared" si="25"/>
        <v>-1.1007632233021407</v>
      </c>
      <c r="O230" s="9">
        <f t="shared" si="26"/>
        <v>2.5938759417254955</v>
      </c>
      <c r="P230" s="9">
        <f t="shared" si="27"/>
        <v>0.29174485057814403</v>
      </c>
      <c r="Q230" s="9">
        <f t="shared" si="30"/>
        <v>0.24959691666300274</v>
      </c>
      <c r="R230" s="9">
        <f t="shared" si="30"/>
        <v>0.9304664041986811</v>
      </c>
      <c r="S230" s="9">
        <f t="shared" si="30"/>
        <v>0.57242324747870788</v>
      </c>
      <c r="T230" s="9">
        <f t="shared" si="28"/>
        <v>1.4411134233557235</v>
      </c>
      <c r="U230" s="14">
        <f t="shared" si="31"/>
        <v>6.9653462718997049E-7</v>
      </c>
      <c r="W230" s="14">
        <f t="shared" si="29"/>
        <v>8.4965589800602981E-2</v>
      </c>
      <c r="X230" s="16">
        <f t="shared" si="32"/>
        <v>5.7946175377120136E-2</v>
      </c>
    </row>
    <row r="231" spans="1:24" x14ac:dyDescent="0.3">
      <c r="A231" s="9">
        <v>35</v>
      </c>
      <c r="B231" s="9">
        <v>0.98325960470347495</v>
      </c>
      <c r="C231" s="9">
        <v>0.99159447593432803</v>
      </c>
      <c r="D231" s="9">
        <v>0.97499479243333698</v>
      </c>
      <c r="E231" s="9">
        <v>0.6278125</v>
      </c>
      <c r="F231" s="9">
        <v>0.2</v>
      </c>
      <c r="G231" s="9">
        <v>1.5542520818005601</v>
      </c>
      <c r="N231" s="9">
        <f t="shared" si="25"/>
        <v>-1.1322307015273061</v>
      </c>
      <c r="O231" s="9">
        <f t="shared" si="26"/>
        <v>2.7341818587230291</v>
      </c>
      <c r="P231" s="9">
        <f t="shared" si="27"/>
        <v>0.32388453999039657</v>
      </c>
      <c r="Q231" s="9">
        <f t="shared" si="30"/>
        <v>0.2437496678156949</v>
      </c>
      <c r="R231" s="9">
        <f t="shared" si="30"/>
        <v>0.93901375946697374</v>
      </c>
      <c r="S231" s="9">
        <f t="shared" si="30"/>
        <v>0.58027065149983081</v>
      </c>
      <c r="T231" s="9">
        <f t="shared" si="28"/>
        <v>1.5558281877932516</v>
      </c>
      <c r="U231" s="14">
        <f t="shared" si="31"/>
        <v>2.484110100198167E-6</v>
      </c>
      <c r="W231" s="14">
        <f t="shared" si="29"/>
        <v>0.16439928805266335</v>
      </c>
      <c r="X231" s="16">
        <f t="shared" si="32"/>
        <v>0.10140607248636636</v>
      </c>
    </row>
    <row r="232" spans="1:24" x14ac:dyDescent="0.3">
      <c r="A232" s="9">
        <v>36</v>
      </c>
      <c r="B232" s="9">
        <v>0.63822315837842403</v>
      </c>
      <c r="C232" s="9">
        <v>0.79888870212215701</v>
      </c>
      <c r="D232" s="9">
        <v>0.50986927066124299</v>
      </c>
      <c r="E232" s="9">
        <v>4.4691358024691E-2</v>
      </c>
      <c r="F232" s="9">
        <v>0.2</v>
      </c>
      <c r="G232" s="9">
        <v>0.56932572132747294</v>
      </c>
      <c r="N232" s="9">
        <f t="shared" si="25"/>
        <v>-1.2699649602095895</v>
      </c>
      <c r="O232" s="9">
        <f t="shared" si="26"/>
        <v>1.0777124815333223</v>
      </c>
      <c r="P232" s="9">
        <f t="shared" si="27"/>
        <v>-0.66611593291533167</v>
      </c>
      <c r="Q232" s="9">
        <f t="shared" si="30"/>
        <v>0.21926325038117173</v>
      </c>
      <c r="R232" s="9">
        <f t="shared" si="30"/>
        <v>0.74606084766595071</v>
      </c>
      <c r="S232" s="9">
        <f t="shared" si="30"/>
        <v>0.33936709320186864</v>
      </c>
      <c r="T232" s="9">
        <f t="shared" si="28"/>
        <v>0.57853120141518855</v>
      </c>
      <c r="U232" s="14">
        <f t="shared" si="31"/>
        <v>8.4740863645328421E-5</v>
      </c>
      <c r="W232" s="14">
        <f t="shared" si="29"/>
        <v>0.33577915284399662</v>
      </c>
      <c r="X232" s="16">
        <f t="shared" si="32"/>
        <v>1.6169092213595353</v>
      </c>
    </row>
    <row r="233" spans="1:24" x14ac:dyDescent="0.3">
      <c r="A233" s="9">
        <v>37</v>
      </c>
      <c r="B233" s="9">
        <v>0.86512518623928802</v>
      </c>
      <c r="C233" s="9">
        <v>0.93012105999127204</v>
      </c>
      <c r="D233" s="9">
        <v>0.80467115525003297</v>
      </c>
      <c r="E233" s="9">
        <v>0.178765432098765</v>
      </c>
      <c r="F233" s="9">
        <v>0.2</v>
      </c>
      <c r="G233" s="9">
        <v>0.84484420161697205</v>
      </c>
      <c r="N233" s="9">
        <f t="shared" si="25"/>
        <v>-0.99368144360128818</v>
      </c>
      <c r="O233" s="9">
        <f t="shared" si="26"/>
        <v>1.8866283890344249</v>
      </c>
      <c r="P233" s="9">
        <f t="shared" si="27"/>
        <v>6.6931734810491583E-2</v>
      </c>
      <c r="Q233" s="9">
        <f t="shared" si="30"/>
        <v>0.2701855371748102</v>
      </c>
      <c r="R233" s="9">
        <f t="shared" si="30"/>
        <v>0.86837062345100613</v>
      </c>
      <c r="S233" s="9">
        <f t="shared" si="30"/>
        <v>0.51672668973712654</v>
      </c>
      <c r="T233" s="9">
        <f t="shared" si="28"/>
        <v>0.85017842633896878</v>
      </c>
      <c r="U233" s="14">
        <f t="shared" si="31"/>
        <v>2.8453953384761183E-5</v>
      </c>
      <c r="W233" s="14">
        <f t="shared" si="29"/>
        <v>9.2383207070125248E-2</v>
      </c>
      <c r="X233" s="16">
        <f t="shared" si="32"/>
        <v>0.63138561071821409</v>
      </c>
    </row>
    <row r="234" spans="1:24" x14ac:dyDescent="0.3">
      <c r="A234" s="9">
        <v>38</v>
      </c>
      <c r="B234" s="9">
        <v>0.95986863223136598</v>
      </c>
      <c r="C234" s="9">
        <v>0.97972885648600005</v>
      </c>
      <c r="D234" s="9">
        <v>0.94041099743281698</v>
      </c>
      <c r="E234" s="9">
        <v>0.40222222222222198</v>
      </c>
      <c r="F234" s="9">
        <v>0.2</v>
      </c>
      <c r="G234" s="9">
        <v>1.22845244756975</v>
      </c>
      <c r="N234" s="9">
        <f t="shared" si="25"/>
        <v>-1.0140331995732161</v>
      </c>
      <c r="O234" s="9">
        <f t="shared" si="26"/>
        <v>2.4202187923832863</v>
      </c>
      <c r="P234" s="9">
        <f t="shared" si="27"/>
        <v>0.34547612560212559</v>
      </c>
      <c r="Q234" s="9">
        <f t="shared" si="30"/>
        <v>0.26619128928325531</v>
      </c>
      <c r="R234" s="9">
        <f t="shared" si="30"/>
        <v>0.91835615068406218</v>
      </c>
      <c r="S234" s="9">
        <f t="shared" si="30"/>
        <v>0.58552012299723355</v>
      </c>
      <c r="T234" s="9">
        <f t="shared" si="28"/>
        <v>1.2273720905496162</v>
      </c>
      <c r="U234" s="14">
        <f t="shared" si="31"/>
        <v>1.1671712909525369E-6</v>
      </c>
      <c r="W234" s="14">
        <f t="shared" si="29"/>
        <v>6.3460639544871047E-3</v>
      </c>
      <c r="X234" s="16">
        <f t="shared" si="32"/>
        <v>8.7944553512929485E-2</v>
      </c>
    </row>
    <row r="235" spans="1:24" x14ac:dyDescent="0.3">
      <c r="A235" s="9">
        <v>39</v>
      </c>
      <c r="B235" s="9">
        <v>0.993341005660478</v>
      </c>
      <c r="C235" s="9">
        <v>0.99666494152271501</v>
      </c>
      <c r="D235" s="9">
        <v>0.99002815531871602</v>
      </c>
      <c r="E235" s="9">
        <v>0.71506172839506199</v>
      </c>
      <c r="F235" s="9">
        <v>0.2</v>
      </c>
      <c r="G235" s="9">
        <v>1.6719264942755201</v>
      </c>
      <c r="N235" s="9">
        <f t="shared" si="25"/>
        <v>-1.1769437132247895</v>
      </c>
      <c r="O235" s="9">
        <f t="shared" si="26"/>
        <v>2.8591512668890777</v>
      </c>
      <c r="P235" s="9">
        <f t="shared" si="27"/>
        <v>0.32085152858261001</v>
      </c>
      <c r="Q235" s="9">
        <f t="shared" si="30"/>
        <v>0.23560216964848021</v>
      </c>
      <c r="R235" s="9">
        <f t="shared" si="30"/>
        <v>0.94578980019894066</v>
      </c>
      <c r="S235" s="9">
        <f t="shared" si="30"/>
        <v>0.57953176216042279</v>
      </c>
      <c r="T235" s="9">
        <f t="shared" si="28"/>
        <v>1.6738216548523202</v>
      </c>
      <c r="U235" s="14">
        <f t="shared" si="31"/>
        <v>3.5916336118571322E-6</v>
      </c>
      <c r="W235" s="14">
        <f t="shared" si="29"/>
        <v>0.27367151846991045</v>
      </c>
      <c r="X235" s="16">
        <f t="shared" si="32"/>
        <v>0.11335190771178436</v>
      </c>
    </row>
    <row r="236" spans="1:24" x14ac:dyDescent="0.3">
      <c r="A236" s="9">
        <v>1</v>
      </c>
      <c r="B236" s="9">
        <v>1</v>
      </c>
      <c r="C236" s="9">
        <v>1</v>
      </c>
      <c r="D236" s="9">
        <v>1</v>
      </c>
      <c r="E236" s="9">
        <v>1</v>
      </c>
      <c r="F236" s="9">
        <v>0.25</v>
      </c>
      <c r="G236" s="9">
        <v>2.0182290307961299</v>
      </c>
      <c r="N236" s="9">
        <f t="shared" si="25"/>
        <v>-1.3721887063165794</v>
      </c>
      <c r="O236" s="9">
        <f t="shared" si="26"/>
        <v>3.1705932139098101</v>
      </c>
      <c r="P236" s="9">
        <f t="shared" si="27"/>
        <v>0.11850062541988615</v>
      </c>
      <c r="Q236" s="9">
        <f t="shared" si="30"/>
        <v>0.20226645815187941</v>
      </c>
      <c r="R236" s="9">
        <f t="shared" si="30"/>
        <v>0.95971252708862964</v>
      </c>
      <c r="S236" s="9">
        <f t="shared" si="30"/>
        <v>0.52959053761358998</v>
      </c>
      <c r="T236" s="9">
        <f t="shared" si="28"/>
        <v>2.0184246404974457</v>
      </c>
      <c r="U236" s="14">
        <f t="shared" si="31"/>
        <v>3.8263155248865966E-8</v>
      </c>
      <c r="W236" s="14">
        <f t="shared" si="29"/>
        <v>0.75592377426540902</v>
      </c>
      <c r="X236" s="16">
        <f t="shared" si="32"/>
        <v>9.6921458531721814E-3</v>
      </c>
    </row>
    <row r="237" spans="1:24" x14ac:dyDescent="0.3">
      <c r="A237" s="9">
        <v>2</v>
      </c>
      <c r="B237" s="9">
        <v>0.99805795702633604</v>
      </c>
      <c r="C237" s="9">
        <v>0.99902850661346798</v>
      </c>
      <c r="D237" s="9">
        <v>0.99708835032170995</v>
      </c>
      <c r="E237" s="9">
        <v>0.90500000000000003</v>
      </c>
      <c r="F237" s="9">
        <v>0.25</v>
      </c>
      <c r="G237" s="9">
        <v>1.90769544863156</v>
      </c>
      <c r="N237" s="9">
        <f t="shared" si="25"/>
        <v>-1.3126436017583472</v>
      </c>
      <c r="O237" s="9">
        <f t="shared" si="26"/>
        <v>3.0636978635001677</v>
      </c>
      <c r="P237" s="9">
        <f t="shared" si="27"/>
        <v>0.16300516201920401</v>
      </c>
      <c r="Q237" s="9">
        <f t="shared" si="30"/>
        <v>0.21204481012345802</v>
      </c>
      <c r="R237" s="9">
        <f t="shared" si="30"/>
        <v>0.95537023204223659</v>
      </c>
      <c r="S237" s="9">
        <f t="shared" si="30"/>
        <v>0.54066129714777389</v>
      </c>
      <c r="T237" s="9">
        <f t="shared" si="28"/>
        <v>1.9102953329819186</v>
      </c>
      <c r="U237" s="14">
        <f t="shared" si="31"/>
        <v>6.7593986352391261E-6</v>
      </c>
      <c r="W237" s="14">
        <f t="shared" si="29"/>
        <v>0.57593708367513385</v>
      </c>
      <c r="X237" s="16">
        <f t="shared" si="32"/>
        <v>0.13628403591482496</v>
      </c>
    </row>
    <row r="238" spans="1:24" x14ac:dyDescent="0.3">
      <c r="A238" s="9">
        <v>3</v>
      </c>
      <c r="B238" s="9">
        <v>0.99152490614171696</v>
      </c>
      <c r="C238" s="9">
        <v>0.99575343641973801</v>
      </c>
      <c r="D238" s="9">
        <v>0.98731433258637302</v>
      </c>
      <c r="E238" s="9">
        <v>0.82</v>
      </c>
      <c r="F238" s="9">
        <v>0.25</v>
      </c>
      <c r="G238" s="9">
        <v>1.8031400706712499</v>
      </c>
      <c r="N238" s="9">
        <f t="shared" si="25"/>
        <v>-1.2650759395850386</v>
      </c>
      <c r="O238" s="9">
        <f t="shared" si="26"/>
        <v>2.952523840101442</v>
      </c>
      <c r="P238" s="9">
        <f t="shared" si="27"/>
        <v>0.18082171129580771</v>
      </c>
      <c r="Q238" s="9">
        <f t="shared" si="30"/>
        <v>0.22010133518078934</v>
      </c>
      <c r="R238" s="9">
        <f t="shared" si="30"/>
        <v>0.95038263670611067</v>
      </c>
      <c r="S238" s="9">
        <f t="shared" si="30"/>
        <v>0.54508265765068342</v>
      </c>
      <c r="T238" s="9">
        <f t="shared" si="28"/>
        <v>1.8072446749795397</v>
      </c>
      <c r="U238" s="14">
        <f t="shared" si="31"/>
        <v>1.6847776527630686E-5</v>
      </c>
      <c r="W238" s="14">
        <f t="shared" si="29"/>
        <v>0.42817367329698619</v>
      </c>
      <c r="X238" s="16">
        <f t="shared" si="32"/>
        <v>0.22763646457935621</v>
      </c>
    </row>
    <row r="239" spans="1:24" x14ac:dyDescent="0.3">
      <c r="A239" s="9">
        <v>4</v>
      </c>
      <c r="B239" s="9">
        <v>0.97911342554320102</v>
      </c>
      <c r="C239" s="9">
        <v>0.98950160461881098</v>
      </c>
      <c r="D239" s="9">
        <v>0.96883430567881701</v>
      </c>
      <c r="E239" s="9">
        <v>0.745</v>
      </c>
      <c r="F239" s="9">
        <v>0.25</v>
      </c>
      <c r="G239" s="9">
        <v>1.7051414512906999</v>
      </c>
      <c r="N239" s="9">
        <f t="shared" si="25"/>
        <v>-1.2311870139392487</v>
      </c>
      <c r="O239" s="9">
        <f t="shared" si="26"/>
        <v>2.833041407923762</v>
      </c>
      <c r="P239" s="9">
        <f t="shared" si="27"/>
        <v>0.16645868350901616</v>
      </c>
      <c r="Q239" s="9">
        <f t="shared" si="30"/>
        <v>0.22597373805721482</v>
      </c>
      <c r="R239" s="9">
        <f t="shared" si="30"/>
        <v>0.94443542241475553</v>
      </c>
      <c r="S239" s="9">
        <f t="shared" si="30"/>
        <v>0.54151884639787373</v>
      </c>
      <c r="T239" s="9">
        <f t="shared" si="28"/>
        <v>1.7107588237071978</v>
      </c>
      <c r="U239" s="14">
        <f t="shared" si="31"/>
        <v>3.1554872865630845E-5</v>
      </c>
      <c r="W239" s="14">
        <f t="shared" si="29"/>
        <v>0.30952664683600783</v>
      </c>
      <c r="X239" s="16">
        <f t="shared" si="32"/>
        <v>0.32943732687078825</v>
      </c>
    </row>
    <row r="240" spans="1:24" x14ac:dyDescent="0.3">
      <c r="A240" s="9">
        <v>5</v>
      </c>
      <c r="B240" s="9">
        <v>0.95913394700955001</v>
      </c>
      <c r="C240" s="9">
        <v>0.97935384157593897</v>
      </c>
      <c r="D240" s="9">
        <v>0.93933151558969596</v>
      </c>
      <c r="E240" s="9">
        <v>0.68</v>
      </c>
      <c r="F240" s="9">
        <v>0.25</v>
      </c>
      <c r="G240" s="9">
        <v>1.6157396701557001</v>
      </c>
      <c r="N240" s="9">
        <f t="shared" si="25"/>
        <v>-1.2134238286516688</v>
      </c>
      <c r="O240" s="9">
        <f t="shared" si="26"/>
        <v>2.7001357063998732</v>
      </c>
      <c r="P240" s="9">
        <f t="shared" si="27"/>
        <v>0.11323869506510575</v>
      </c>
      <c r="Q240" s="9">
        <f t="shared" si="30"/>
        <v>0.22909580464320781</v>
      </c>
      <c r="R240" s="9">
        <f t="shared" si="30"/>
        <v>0.93703465119232865</v>
      </c>
      <c r="S240" s="9">
        <f t="shared" si="30"/>
        <v>0.52827946125677361</v>
      </c>
      <c r="T240" s="9">
        <f t="shared" si="28"/>
        <v>1.6220892614629308</v>
      </c>
      <c r="U240" s="14">
        <f t="shared" si="31"/>
        <v>4.0317309768859327E-5</v>
      </c>
      <c r="W240" s="14">
        <f t="shared" si="29"/>
        <v>0.21804175062535655</v>
      </c>
      <c r="X240" s="16">
        <f t="shared" si="32"/>
        <v>0.39298356192608663</v>
      </c>
    </row>
    <row r="241" spans="1:24" x14ac:dyDescent="0.3">
      <c r="A241" s="9">
        <v>6</v>
      </c>
      <c r="B241" s="9">
        <v>0.92929286340991601</v>
      </c>
      <c r="C241" s="9">
        <v>0.96399837313655001</v>
      </c>
      <c r="D241" s="9">
        <v>0.89583680849456504</v>
      </c>
      <c r="E241" s="9">
        <v>0.625</v>
      </c>
      <c r="F241" s="9">
        <v>0.25</v>
      </c>
      <c r="G241" s="9">
        <v>1.53561241010884</v>
      </c>
      <c r="N241" s="9">
        <f t="shared" si="25"/>
        <v>-1.2154761027317171</v>
      </c>
      <c r="O241" s="9">
        <f t="shared" si="26"/>
        <v>2.5471499254119383</v>
      </c>
      <c r="P241" s="9">
        <f t="shared" si="27"/>
        <v>1.3008940898234012E-2</v>
      </c>
      <c r="Q241" s="9">
        <f t="shared" si="30"/>
        <v>0.22873355216465432</v>
      </c>
      <c r="R241" s="9">
        <f t="shared" si="30"/>
        <v>0.92738181060837765</v>
      </c>
      <c r="S241" s="9">
        <f t="shared" si="30"/>
        <v>0.50325218935999816</v>
      </c>
      <c r="T241" s="9">
        <f t="shared" si="28"/>
        <v>1.5422932639051785</v>
      </c>
      <c r="U241" s="14">
        <f t="shared" si="31"/>
        <v>4.4633807448051046E-5</v>
      </c>
      <c r="W241" s="14">
        <f t="shared" si="29"/>
        <v>0.1496313749703525</v>
      </c>
      <c r="X241" s="16">
        <f t="shared" si="32"/>
        <v>0.43506120114417524</v>
      </c>
    </row>
    <row r="242" spans="1:24" x14ac:dyDescent="0.3">
      <c r="A242" s="9">
        <v>7</v>
      </c>
      <c r="B242" s="9">
        <v>0.88629579591014296</v>
      </c>
      <c r="C242" s="9">
        <v>0.941432841954296</v>
      </c>
      <c r="D242" s="9">
        <v>0.83438796995583098</v>
      </c>
      <c r="E242" s="9">
        <v>0.57999999999999996</v>
      </c>
      <c r="F242" s="9">
        <v>0.25</v>
      </c>
      <c r="G242" s="9">
        <v>1.4669160485311299</v>
      </c>
      <c r="N242" s="9">
        <f t="shared" si="25"/>
        <v>-1.2432796580164869</v>
      </c>
      <c r="O242" s="9">
        <f t="shared" si="26"/>
        <v>2.3649863598208478</v>
      </c>
      <c r="P242" s="9">
        <f t="shared" si="27"/>
        <v>-0.14435662801146221</v>
      </c>
      <c r="Q242" s="9">
        <f t="shared" si="30"/>
        <v>0.22386562975697108</v>
      </c>
      <c r="R242" s="9">
        <f t="shared" si="30"/>
        <v>0.91411807496591702</v>
      </c>
      <c r="S242" s="9">
        <f t="shared" si="30"/>
        <v>0.46397338400767996</v>
      </c>
      <c r="T242" s="9">
        <f t="shared" si="28"/>
        <v>1.4725391880735841</v>
      </c>
      <c r="U242" s="14">
        <f t="shared" si="31"/>
        <v>3.1619698313911941E-5</v>
      </c>
      <c r="W242" s="14">
        <f t="shared" si="29"/>
        <v>0.10120401663405112</v>
      </c>
      <c r="X242" s="16">
        <f t="shared" si="32"/>
        <v>0.38333069899159</v>
      </c>
    </row>
    <row r="243" spans="1:24" x14ac:dyDescent="0.3">
      <c r="A243" s="9">
        <v>8</v>
      </c>
      <c r="B243" s="9">
        <v>0.82493648944805298</v>
      </c>
      <c r="C243" s="9">
        <v>0.90826014414816902</v>
      </c>
      <c r="D243" s="9">
        <v>0.74925693481917399</v>
      </c>
      <c r="E243" s="9">
        <v>0.54500000000000004</v>
      </c>
      <c r="F243" s="9">
        <v>0.25</v>
      </c>
      <c r="G243" s="9">
        <v>1.41117169391071</v>
      </c>
      <c r="N243" s="9">
        <f t="shared" si="25"/>
        <v>-1.3073475759450757</v>
      </c>
      <c r="O243" s="9">
        <f t="shared" si="26"/>
        <v>2.1399985462978988</v>
      </c>
      <c r="P243" s="9">
        <f t="shared" si="27"/>
        <v>-0.37201929390751942</v>
      </c>
      <c r="Q243" s="9">
        <f t="shared" si="30"/>
        <v>0.21293102912350648</v>
      </c>
      <c r="R243" s="9">
        <f t="shared" si="30"/>
        <v>0.8947304735564886</v>
      </c>
      <c r="S243" s="9">
        <f t="shared" si="30"/>
        <v>0.40805317923016077</v>
      </c>
      <c r="T243" s="9">
        <f t="shared" si="28"/>
        <v>1.4149678459525528</v>
      </c>
      <c r="U243" s="14">
        <f t="shared" si="31"/>
        <v>1.4410770324787291E-5</v>
      </c>
      <c r="W243" s="14">
        <f t="shared" si="29"/>
        <v>6.8844016288234E-2</v>
      </c>
      <c r="X243" s="16">
        <f t="shared" si="32"/>
        <v>0.26900709943541429</v>
      </c>
    </row>
    <row r="244" spans="1:24" x14ac:dyDescent="0.3">
      <c r="A244" s="9">
        <v>9</v>
      </c>
      <c r="B244" s="9">
        <v>0.73549094564436901</v>
      </c>
      <c r="C244" s="9">
        <v>0.85760768749141303</v>
      </c>
      <c r="D244" s="9">
        <v>0.63076268906494104</v>
      </c>
      <c r="E244" s="9">
        <v>0.52</v>
      </c>
      <c r="F244" s="9">
        <v>0.25</v>
      </c>
      <c r="G244" s="9">
        <v>1.37046939350652</v>
      </c>
      <c r="N244" s="9">
        <f t="shared" si="25"/>
        <v>-1.4295106041627967</v>
      </c>
      <c r="O244" s="9">
        <f t="shared" si="26"/>
        <v>1.8477902846603278</v>
      </c>
      <c r="P244" s="9">
        <f t="shared" si="27"/>
        <v>-0.68897964617164686</v>
      </c>
      <c r="Q244" s="9">
        <f t="shared" si="30"/>
        <v>0.19317494922621353</v>
      </c>
      <c r="R244" s="9">
        <f t="shared" si="30"/>
        <v>0.86386744828545181</v>
      </c>
      <c r="S244" s="9">
        <f t="shared" si="30"/>
        <v>0.33426009446307653</v>
      </c>
      <c r="T244" s="9">
        <f t="shared" si="28"/>
        <v>1.3742604801568512</v>
      </c>
      <c r="U244" s="14">
        <f t="shared" si="31"/>
        <v>1.4372337990319684E-5</v>
      </c>
      <c r="W244" s="14">
        <f t="shared" si="29"/>
        <v>4.9141637748252649E-2</v>
      </c>
      <c r="X244" s="16">
        <f t="shared" si="32"/>
        <v>0.27662687457990254</v>
      </c>
    </row>
    <row r="245" spans="1:24" x14ac:dyDescent="0.3">
      <c r="A245" s="9">
        <v>10</v>
      </c>
      <c r="B245" s="9">
        <v>0.592782777626775</v>
      </c>
      <c r="C245" s="9">
        <v>0.769923877813109</v>
      </c>
      <c r="D245" s="9">
        <v>0.45639761485123198</v>
      </c>
      <c r="E245" s="9">
        <v>0.505</v>
      </c>
      <c r="F245" s="9">
        <v>0.25</v>
      </c>
      <c r="G245" s="9">
        <v>1.35375135237891</v>
      </c>
      <c r="N245" s="9">
        <f t="shared" si="25"/>
        <v>-1.6719887463215835</v>
      </c>
      <c r="O245" s="9">
        <f t="shared" si="26"/>
        <v>1.4263874123661375</v>
      </c>
      <c r="P245" s="9">
        <f t="shared" si="27"/>
        <v>-1.1295666502560648</v>
      </c>
      <c r="Q245" s="9">
        <f t="shared" si="30"/>
        <v>0.15815920742006243</v>
      </c>
      <c r="R245" s="9">
        <f t="shared" si="30"/>
        <v>0.80633780861908844</v>
      </c>
      <c r="S245" s="9">
        <f t="shared" si="30"/>
        <v>0.24424108293156907</v>
      </c>
      <c r="T245" s="9">
        <f t="shared" si="28"/>
        <v>1.3570345387809515</v>
      </c>
      <c r="U245" s="14">
        <f t="shared" si="31"/>
        <v>1.0779312950550241E-5</v>
      </c>
      <c r="W245" s="14">
        <f t="shared" si="29"/>
        <v>4.2009048941704451E-2</v>
      </c>
      <c r="X245" s="16">
        <f t="shared" si="32"/>
        <v>0.24252506904403467</v>
      </c>
    </row>
    <row r="246" spans="1:24" x14ac:dyDescent="0.3">
      <c r="A246" s="9">
        <v>11</v>
      </c>
      <c r="B246" s="9">
        <v>0.99798365800029598</v>
      </c>
      <c r="C246" s="9">
        <v>0.99899132028276205</v>
      </c>
      <c r="D246" s="9">
        <v>0.99697701212633705</v>
      </c>
      <c r="E246" s="9">
        <v>0.81</v>
      </c>
      <c r="F246" s="9">
        <v>0.25</v>
      </c>
      <c r="G246" s="9">
        <v>1.7942712502518201</v>
      </c>
      <c r="N246" s="9">
        <f t="shared" si="25"/>
        <v>-1.2508916876829947</v>
      </c>
      <c r="O246" s="9">
        <f t="shared" si="26"/>
        <v>2.9628656744642754</v>
      </c>
      <c r="P246" s="9">
        <f t="shared" si="27"/>
        <v>0.21612145646901293</v>
      </c>
      <c r="Q246" s="9">
        <f t="shared" si="30"/>
        <v>0.22254582158633726</v>
      </c>
      <c r="R246" s="9">
        <f t="shared" si="30"/>
        <v>0.95086804561974825</v>
      </c>
      <c r="S246" s="9">
        <f t="shared" si="30"/>
        <v>0.55382103543918504</v>
      </c>
      <c r="T246" s="9">
        <f t="shared" si="28"/>
        <v>1.796981908691706</v>
      </c>
      <c r="U246" s="14">
        <f t="shared" si="31"/>
        <v>7.3476691777248665E-6</v>
      </c>
      <c r="W246" s="14">
        <f t="shared" si="29"/>
        <v>0.41664570736731743</v>
      </c>
      <c r="X246" s="16">
        <f t="shared" si="32"/>
        <v>0.15107294616159656</v>
      </c>
    </row>
    <row r="247" spans="1:24" x14ac:dyDescent="0.3">
      <c r="A247" s="9">
        <v>12</v>
      </c>
      <c r="B247" s="9">
        <v>0.99082969587065495</v>
      </c>
      <c r="C247" s="9">
        <v>0.99540428764932198</v>
      </c>
      <c r="D247" s="9">
        <v>0.986276127599925</v>
      </c>
      <c r="E247" s="9">
        <v>0.64</v>
      </c>
      <c r="F247" s="9">
        <v>0.25</v>
      </c>
      <c r="G247" s="9">
        <v>1.5760351948229301</v>
      </c>
      <c r="N247" s="9">
        <f t="shared" si="25"/>
        <v>-1.1487357447256796</v>
      </c>
      <c r="O247" s="9">
        <f t="shared" si="26"/>
        <v>2.7596805092645225</v>
      </c>
      <c r="P247" s="9">
        <f t="shared" si="27"/>
        <v>0.27892732885700144</v>
      </c>
      <c r="Q247" s="9">
        <f t="shared" si="30"/>
        <v>0.24072008019657648</v>
      </c>
      <c r="R247" s="9">
        <f t="shared" si="30"/>
        <v>0.94045774602649168</v>
      </c>
      <c r="S247" s="9">
        <f t="shared" si="30"/>
        <v>0.56928322472302506</v>
      </c>
      <c r="T247" s="9">
        <f t="shared" si="28"/>
        <v>1.5772784476530552</v>
      </c>
      <c r="U247" s="14">
        <f t="shared" si="31"/>
        <v>1.5456775996142281E-6</v>
      </c>
      <c r="W247" s="14">
        <f t="shared" si="29"/>
        <v>0.18253823339912917</v>
      </c>
      <c r="X247" s="16">
        <f t="shared" si="32"/>
        <v>7.8884839260511846E-2</v>
      </c>
    </row>
    <row r="248" spans="1:24" x14ac:dyDescent="0.3">
      <c r="A248" s="9">
        <v>13</v>
      </c>
      <c r="B248" s="9">
        <v>0.976358383123614</v>
      </c>
      <c r="C248" s="9">
        <v>0.98810848752736302</v>
      </c>
      <c r="D248" s="9">
        <v>0.96474800523293602</v>
      </c>
      <c r="E248" s="9">
        <v>0.49</v>
      </c>
      <c r="F248" s="9">
        <v>0.25</v>
      </c>
      <c r="G248" s="9">
        <v>1.365684149152</v>
      </c>
      <c r="N248" s="9">
        <f t="shared" si="25"/>
        <v>-1.0685433516074259</v>
      </c>
      <c r="O248" s="9">
        <f t="shared" si="26"/>
        <v>2.5541666942742394</v>
      </c>
      <c r="P248" s="9">
        <f t="shared" si="27"/>
        <v>0.29747744460983372</v>
      </c>
      <c r="Q248" s="9">
        <f t="shared" si="30"/>
        <v>0.25568019710270795</v>
      </c>
      <c r="R248" s="9">
        <f t="shared" si="30"/>
        <v>0.92785293864925955</v>
      </c>
      <c r="S248" s="9">
        <f t="shared" si="30"/>
        <v>0.57382574168554568</v>
      </c>
      <c r="T248" s="9">
        <f t="shared" si="28"/>
        <v>1.365170224947017</v>
      </c>
      <c r="U248" s="14">
        <f t="shared" si="31"/>
        <v>2.6411808846738183E-7</v>
      </c>
      <c r="W248" s="14">
        <f t="shared" si="29"/>
        <v>4.7042958677977892E-2</v>
      </c>
      <c r="X248" s="16">
        <f t="shared" si="32"/>
        <v>3.763126381030981E-2</v>
      </c>
    </row>
    <row r="249" spans="1:24" x14ac:dyDescent="0.3">
      <c r="A249" s="9">
        <v>14</v>
      </c>
      <c r="B249" s="9">
        <v>0.95144310139704402</v>
      </c>
      <c r="C249" s="9">
        <v>0.97541944895365096</v>
      </c>
      <c r="D249" s="9">
        <v>0.92805610567545704</v>
      </c>
      <c r="E249" s="9">
        <v>0.36</v>
      </c>
      <c r="F249" s="9">
        <v>0.25</v>
      </c>
      <c r="G249" s="9">
        <v>1.16521500824465</v>
      </c>
      <c r="N249" s="9">
        <f t="shared" si="25"/>
        <v>-1.0147402994561605</v>
      </c>
      <c r="O249" s="9">
        <f t="shared" si="26"/>
        <v>2.3367734279876577</v>
      </c>
      <c r="P249" s="9">
        <f t="shared" si="27"/>
        <v>0.25916227833678651</v>
      </c>
      <c r="Q249" s="9">
        <f t="shared" si="30"/>
        <v>0.26605319183447712</v>
      </c>
      <c r="R249" s="9">
        <f t="shared" si="30"/>
        <v>0.91187715117367996</v>
      </c>
      <c r="S249" s="9">
        <f t="shared" si="30"/>
        <v>0.5644303501237331</v>
      </c>
      <c r="T249" s="9">
        <f t="shared" si="28"/>
        <v>1.1655706011797777</v>
      </c>
      <c r="U249" s="14">
        <f t="shared" si="31"/>
        <v>1.2644633551278151E-7</v>
      </c>
      <c r="W249" s="14">
        <f t="shared" si="29"/>
        <v>2.6977231904318065E-4</v>
      </c>
      <c r="X249" s="16">
        <f t="shared" si="32"/>
        <v>3.051736654709377E-2</v>
      </c>
    </row>
    <row r="250" spans="1:24" x14ac:dyDescent="0.3">
      <c r="A250" s="9">
        <v>15</v>
      </c>
      <c r="B250" s="9">
        <v>0.91157954485698101</v>
      </c>
      <c r="C250" s="9">
        <v>0.95476674892718205</v>
      </c>
      <c r="D250" s="9">
        <v>0.87034583843162105</v>
      </c>
      <c r="E250" s="9">
        <v>0.25</v>
      </c>
      <c r="F250" s="9">
        <v>0.25</v>
      </c>
      <c r="G250" s="9">
        <v>0.97882684100644102</v>
      </c>
      <c r="N250" s="9">
        <f t="shared" si="25"/>
        <v>-0.99452447506472463</v>
      </c>
      <c r="O250" s="9">
        <f t="shared" si="26"/>
        <v>2.0943788481321688</v>
      </c>
      <c r="P250" s="9">
        <f t="shared" si="27"/>
        <v>0.14785410526801035</v>
      </c>
      <c r="Q250" s="9">
        <f t="shared" si="30"/>
        <v>0.27001933596189959</v>
      </c>
      <c r="R250" s="9">
        <f t="shared" si="30"/>
        <v>0.89035563090840686</v>
      </c>
      <c r="S250" s="9">
        <f t="shared" si="30"/>
        <v>0.53689633539788095</v>
      </c>
      <c r="T250" s="9">
        <f t="shared" si="28"/>
        <v>0.98195537934300259</v>
      </c>
      <c r="U250" s="14">
        <f t="shared" si="31"/>
        <v>9.7877521233354375E-6</v>
      </c>
      <c r="W250" s="14">
        <f t="shared" si="29"/>
        <v>2.8887564167028104E-2</v>
      </c>
      <c r="X250" s="16">
        <f t="shared" si="32"/>
        <v>0.31962122466367715</v>
      </c>
    </row>
    <row r="251" spans="1:24" x14ac:dyDescent="0.3">
      <c r="A251" s="9">
        <v>16</v>
      </c>
      <c r="B251" s="9">
        <v>0.85026083486688397</v>
      </c>
      <c r="C251" s="9">
        <v>0.92209589244659595</v>
      </c>
      <c r="D251" s="9">
        <v>0.78402202333896698</v>
      </c>
      <c r="E251" s="9">
        <v>0.16</v>
      </c>
      <c r="F251" s="9">
        <v>0.25</v>
      </c>
      <c r="G251" s="9">
        <v>0.81051875981743804</v>
      </c>
      <c r="N251" s="9">
        <f t="shared" si="25"/>
        <v>-1.0201092899965611</v>
      </c>
      <c r="O251" s="9">
        <f t="shared" si="26"/>
        <v>1.8093337338052697</v>
      </c>
      <c r="P251" s="9">
        <f t="shared" si="27"/>
        <v>-5.5220772458959066E-2</v>
      </c>
      <c r="Q251" s="9">
        <f t="shared" si="30"/>
        <v>0.26500611271371477</v>
      </c>
      <c r="R251" s="9">
        <f t="shared" si="30"/>
        <v>0.85928133068934875</v>
      </c>
      <c r="S251" s="9">
        <f t="shared" si="30"/>
        <v>0.48619831386926354</v>
      </c>
      <c r="T251" s="9">
        <f t="shared" si="28"/>
        <v>0.81664728710272849</v>
      </c>
      <c r="U251" s="14">
        <f t="shared" si="31"/>
        <v>3.7558846686549568E-5</v>
      </c>
      <c r="W251" s="14">
        <f t="shared" si="29"/>
        <v>0.11442760857424328</v>
      </c>
      <c r="X251" s="16">
        <f t="shared" si="32"/>
        <v>0.756124051548276</v>
      </c>
    </row>
    <row r="252" spans="1:24" x14ac:dyDescent="0.3">
      <c r="A252" s="9">
        <v>17</v>
      </c>
      <c r="B252" s="9">
        <v>0.758040166935394</v>
      </c>
      <c r="C252" s="9">
        <v>0.87065502177119103</v>
      </c>
      <c r="D252" s="9">
        <v>0.65999147804657299</v>
      </c>
      <c r="E252" s="9">
        <v>0.09</v>
      </c>
      <c r="F252" s="9">
        <v>0.25</v>
      </c>
      <c r="G252" s="9">
        <v>0.666300399212432</v>
      </c>
      <c r="N252" s="9">
        <f t="shared" si="25"/>
        <v>-1.1133394352431409</v>
      </c>
      <c r="O252" s="9">
        <f t="shared" si="26"/>
        <v>1.4585836019052631</v>
      </c>
      <c r="P252" s="9">
        <f t="shared" si="27"/>
        <v>-0.36697871543608218</v>
      </c>
      <c r="Q252" s="9">
        <f t="shared" si="30"/>
        <v>0.24724883892976435</v>
      </c>
      <c r="R252" s="9">
        <f t="shared" si="30"/>
        <v>0.81131594479398639</v>
      </c>
      <c r="S252" s="9">
        <f t="shared" si="30"/>
        <v>0.40927127166389637</v>
      </c>
      <c r="T252" s="9">
        <f t="shared" si="28"/>
        <v>0.67365098048863603</v>
      </c>
      <c r="U252" s="14">
        <f t="shared" si="31"/>
        <v>5.4031045098081219E-5</v>
      </c>
      <c r="W252" s="14">
        <f t="shared" si="29"/>
        <v>0.23279646681613284</v>
      </c>
      <c r="X252" s="16">
        <f t="shared" si="32"/>
        <v>1.1031932871258106</v>
      </c>
    </row>
    <row r="253" spans="1:24" x14ac:dyDescent="0.3">
      <c r="A253" s="9">
        <v>18</v>
      </c>
      <c r="B253" s="9">
        <v>0.62081341767015497</v>
      </c>
      <c r="C253" s="9">
        <v>0.78791713883514103</v>
      </c>
      <c r="D253" s="9">
        <v>0.48914953180113402</v>
      </c>
      <c r="E253" s="9">
        <v>0.04</v>
      </c>
      <c r="F253" s="9">
        <v>0.25</v>
      </c>
      <c r="G253" s="9">
        <v>0.55503645183837302</v>
      </c>
      <c r="N253" s="9">
        <f t="shared" si="25"/>
        <v>-1.3165277696307438</v>
      </c>
      <c r="O253" s="9">
        <f t="shared" si="26"/>
        <v>1.0120459619302846</v>
      </c>
      <c r="P253" s="9">
        <f t="shared" si="27"/>
        <v>-0.78790191536626297</v>
      </c>
      <c r="Q253" s="9">
        <f t="shared" si="30"/>
        <v>0.21139656218880568</v>
      </c>
      <c r="R253" s="9">
        <f t="shared" si="30"/>
        <v>0.73342035634422909</v>
      </c>
      <c r="S253" s="9">
        <f t="shared" si="30"/>
        <v>0.31261934631265581</v>
      </c>
      <c r="T253" s="9">
        <f t="shared" si="28"/>
        <v>0.56513310679764206</v>
      </c>
      <c r="U253" s="14">
        <f t="shared" si="31"/>
        <v>1.0194244136653202E-4</v>
      </c>
      <c r="W253" s="14">
        <f t="shared" si="29"/>
        <v>0.35254358600266111</v>
      </c>
      <c r="X253" s="16">
        <f t="shared" si="32"/>
        <v>1.8190976332864688</v>
      </c>
    </row>
    <row r="254" spans="1:24" x14ac:dyDescent="0.3">
      <c r="A254" s="9">
        <v>19</v>
      </c>
      <c r="B254" s="9">
        <v>0.41411550520763202</v>
      </c>
      <c r="C254" s="9">
        <v>0.64351806906071596</v>
      </c>
      <c r="D254" s="9">
        <v>0.26649081027931798</v>
      </c>
      <c r="E254" s="9">
        <v>0.01</v>
      </c>
      <c r="F254" s="9">
        <v>0.25</v>
      </c>
      <c r="G254" s="9">
        <v>0.49687276423379001</v>
      </c>
      <c r="N254" s="9">
        <f t="shared" si="25"/>
        <v>-1.7276188359037508</v>
      </c>
      <c r="O254" s="9">
        <f t="shared" si="26"/>
        <v>0.4181644709287542</v>
      </c>
      <c r="P254" s="9">
        <f t="shared" si="27"/>
        <v>-1.2537547013691013</v>
      </c>
      <c r="Q254" s="9">
        <f t="shared" si="30"/>
        <v>0.15089241021012353</v>
      </c>
      <c r="R254" s="9">
        <f t="shared" si="30"/>
        <v>0.60304394055750465</v>
      </c>
      <c r="S254" s="9">
        <f t="shared" si="30"/>
        <v>0.22205085882353701</v>
      </c>
      <c r="T254" s="9">
        <f t="shared" si="28"/>
        <v>0.50657968223277472</v>
      </c>
      <c r="U254" s="14">
        <f t="shared" si="31"/>
        <v>9.4224257039013322E-5</v>
      </c>
      <c r="W254" s="14">
        <f t="shared" si="29"/>
        <v>0.42499642270929089</v>
      </c>
      <c r="X254" s="16">
        <f t="shared" si="32"/>
        <v>1.9536023500811937</v>
      </c>
    </row>
    <row r="255" spans="1:24" x14ac:dyDescent="0.3">
      <c r="A255" s="9">
        <v>20</v>
      </c>
      <c r="B255" s="9">
        <v>0.60462132125511903</v>
      </c>
      <c r="C255" s="9">
        <v>0.77757399728586496</v>
      </c>
      <c r="D255" s="9">
        <v>0.47013781761260398</v>
      </c>
      <c r="E255" s="9">
        <v>0.13</v>
      </c>
      <c r="F255" s="9">
        <v>0.25</v>
      </c>
      <c r="G255" s="9">
        <v>0.75068871084699995</v>
      </c>
      <c r="N255" s="9">
        <f t="shared" si="25"/>
        <v>-1.4053961911907642</v>
      </c>
      <c r="O255" s="9">
        <f t="shared" si="26"/>
        <v>1.0621822091030475</v>
      </c>
      <c r="P255" s="9">
        <f t="shared" si="27"/>
        <v>-0.88527104387910993</v>
      </c>
      <c r="Q255" s="9">
        <f t="shared" si="30"/>
        <v>0.19696121350243362</v>
      </c>
      <c r="R255" s="9">
        <f t="shared" si="30"/>
        <v>0.74310734739302775</v>
      </c>
      <c r="S255" s="9">
        <f t="shared" si="30"/>
        <v>0.29208668111836406</v>
      </c>
      <c r="T255" s="9">
        <f t="shared" si="28"/>
        <v>0.73224117723716275</v>
      </c>
      <c r="U255" s="14">
        <f t="shared" si="31"/>
        <v>3.4031149628607299E-4</v>
      </c>
      <c r="W255" s="14">
        <f t="shared" si="29"/>
        <v>0.15848484430711607</v>
      </c>
      <c r="X255" s="16">
        <f t="shared" si="32"/>
        <v>2.4574145505695562</v>
      </c>
    </row>
    <row r="256" spans="1:24" x14ac:dyDescent="0.3">
      <c r="A256" s="9">
        <v>21</v>
      </c>
      <c r="B256" s="9">
        <v>0.53604508929966299</v>
      </c>
      <c r="C256" s="9">
        <v>0.73215100170638503</v>
      </c>
      <c r="D256" s="9">
        <v>0.392465949090537</v>
      </c>
      <c r="E256" s="9">
        <v>3.6249999999999998E-2</v>
      </c>
      <c r="F256" s="9">
        <v>0.25</v>
      </c>
      <c r="G256" s="9">
        <v>0.55043829823089396</v>
      </c>
      <c r="N256" s="9">
        <f t="shared" si="25"/>
        <v>-1.4788234396013853</v>
      </c>
      <c r="O256" s="9">
        <f t="shared" si="26"/>
        <v>0.77419330745652437</v>
      </c>
      <c r="P256" s="9">
        <f t="shared" si="27"/>
        <v>-1.0145145013361796</v>
      </c>
      <c r="Q256" s="9">
        <f t="shared" si="30"/>
        <v>0.18560519756710364</v>
      </c>
      <c r="R256" s="9">
        <f t="shared" si="30"/>
        <v>0.68442729149213211</v>
      </c>
      <c r="S256" s="9">
        <f t="shared" si="30"/>
        <v>0.26609728551199435</v>
      </c>
      <c r="T256" s="9">
        <f t="shared" si="28"/>
        <v>0.55603321495011226</v>
      </c>
      <c r="U256" s="14">
        <f t="shared" si="31"/>
        <v>3.130309309498848E-5</v>
      </c>
      <c r="W256" s="14">
        <f t="shared" si="29"/>
        <v>0.35802507145920298</v>
      </c>
      <c r="X256" s="16">
        <f t="shared" si="32"/>
        <v>1.0164475722711042</v>
      </c>
    </row>
    <row r="257" spans="1:24" x14ac:dyDescent="0.3">
      <c r="A257" s="9">
        <v>22</v>
      </c>
      <c r="B257" s="9">
        <v>0.482056160699321</v>
      </c>
      <c r="C257" s="9">
        <v>0.69430264344831705</v>
      </c>
      <c r="D257" s="9">
        <v>0.33469286666408499</v>
      </c>
      <c r="E257" s="9">
        <v>1.8888888888889E-2</v>
      </c>
      <c r="F257" s="9">
        <v>0.25</v>
      </c>
      <c r="G257" s="9">
        <v>0.51129463593823898</v>
      </c>
      <c r="N257" s="9">
        <f t="shared" si="25"/>
        <v>-1.5808003073499211</v>
      </c>
      <c r="O257" s="9">
        <f t="shared" si="26"/>
        <v>0.60964433246925531</v>
      </c>
      <c r="P257" s="9">
        <f t="shared" si="27"/>
        <v>-1.1288551083608169</v>
      </c>
      <c r="Q257" s="9">
        <f t="shared" si="30"/>
        <v>0.17068216884593718</v>
      </c>
      <c r="R257" s="9">
        <f t="shared" si="30"/>
        <v>0.64785966524020777</v>
      </c>
      <c r="S257" s="9">
        <f t="shared" si="30"/>
        <v>0.24437244848394798</v>
      </c>
      <c r="T257" s="9">
        <f t="shared" si="28"/>
        <v>0.5232165703834849</v>
      </c>
      <c r="U257" s="14">
        <f t="shared" si="31"/>
        <v>1.4213252091674111E-4</v>
      </c>
      <c r="W257" s="14">
        <f t="shared" si="29"/>
        <v>0.40640067208961411</v>
      </c>
      <c r="X257" s="16">
        <f t="shared" si="32"/>
        <v>2.3317151417731692</v>
      </c>
    </row>
    <row r="258" spans="1:24" x14ac:dyDescent="0.3">
      <c r="A258" s="9">
        <v>23</v>
      </c>
      <c r="B258" s="9">
        <v>0.44329834371454502</v>
      </c>
      <c r="C258" s="9">
        <v>0.66580653625099295</v>
      </c>
      <c r="D258" s="9">
        <v>0.29515093475438398</v>
      </c>
      <c r="E258" s="9">
        <v>1.2812499999999999E-2</v>
      </c>
      <c r="F258" s="9">
        <v>0.25</v>
      </c>
      <c r="G258" s="9">
        <v>0.499635415912692</v>
      </c>
      <c r="N258" s="9">
        <f t="shared" ref="N258:N274" si="33">B258*$I$1+C258*$J$1+D258*$K$1+E258*$L$1+F258*$M$1+$I$4</f>
        <v>-1.6624697770991088</v>
      </c>
      <c r="O258" s="9">
        <f t="shared" ref="O258:O274" si="34">$I$2*B258+$J$2*C258+$K$2*D258+$L$2*E258+$M$2*F258+$I$5</f>
        <v>0.499189380469373</v>
      </c>
      <c r="P258" s="9">
        <f t="shared" ref="P258:P274" si="35">$I$3*B258+$J$3*C258+$K$3*D258+$L$3*E258+$M$3*F258+$I$6</f>
        <v>-1.2033054808358763</v>
      </c>
      <c r="Q258" s="9">
        <f t="shared" si="30"/>
        <v>0.1594307372851694</v>
      </c>
      <c r="R258" s="9">
        <f t="shared" si="30"/>
        <v>0.62226881370112952</v>
      </c>
      <c r="S258" s="9">
        <f t="shared" si="30"/>
        <v>0.23088771184275433</v>
      </c>
      <c r="T258" s="9">
        <f t="shared" ref="T258:T274" si="36">$I$7*Q258+$J$7*R258+$K$7*S258+$I$8</f>
        <v>0.51195863158777921</v>
      </c>
      <c r="U258" s="14">
        <f t="shared" si="31"/>
        <v>1.5186164457471504E-4</v>
      </c>
      <c r="W258" s="14">
        <f t="shared" ref="W258:W274" si="37">(G258-$V$4)^2</f>
        <v>0.42140201301919045</v>
      </c>
      <c r="X258" s="16">
        <f t="shared" si="32"/>
        <v>2.4664415857263022</v>
      </c>
    </row>
    <row r="259" spans="1:24" x14ac:dyDescent="0.3">
      <c r="A259" s="9">
        <v>24</v>
      </c>
      <c r="B259" s="9">
        <v>0.75641498946707797</v>
      </c>
      <c r="C259" s="9">
        <v>0.86972121364669397</v>
      </c>
      <c r="D259" s="9">
        <v>0.65787016265985798</v>
      </c>
      <c r="E259" s="9">
        <v>0.24222222222222201</v>
      </c>
      <c r="F259" s="9">
        <v>0.25</v>
      </c>
      <c r="G259" s="9">
        <v>0.954963776175483</v>
      </c>
      <c r="N259" s="9">
        <f t="shared" si="33"/>
        <v>-1.2150101820018162</v>
      </c>
      <c r="O259" s="9">
        <f t="shared" si="34"/>
        <v>1.6149809144047687</v>
      </c>
      <c r="P259" s="9">
        <f t="shared" si="35"/>
        <v>-0.45848412691158069</v>
      </c>
      <c r="Q259" s="9">
        <f t="shared" ref="Q259:S274" si="38">1/(1+EXP(-N259))</f>
        <v>0.22881575773227675</v>
      </c>
      <c r="R259" s="9">
        <f t="shared" si="38"/>
        <v>0.8341017729298994</v>
      </c>
      <c r="S259" s="9">
        <f t="shared" si="38"/>
        <v>0.38734549264027079</v>
      </c>
      <c r="T259" s="9">
        <f t="shared" si="36"/>
        <v>0.93991341514780025</v>
      </c>
      <c r="U259" s="14">
        <f t="shared" ref="U259:U274" si="39">(G259-T259)^2</f>
        <v>2.2651336706359197E-4</v>
      </c>
      <c r="W259" s="14">
        <f t="shared" si="37"/>
        <v>3.7568706254919343E-2</v>
      </c>
      <c r="X259" s="16">
        <f t="shared" ref="X259:X274" si="40">100*ABS((T259-G259)/G259)</f>
        <v>1.5760138136294208</v>
      </c>
    </row>
    <row r="260" spans="1:24" x14ac:dyDescent="0.3">
      <c r="A260" s="9">
        <v>25</v>
      </c>
      <c r="B260" s="9">
        <v>0.84330333318766404</v>
      </c>
      <c r="C260" s="9">
        <v>0.91831548674062102</v>
      </c>
      <c r="D260" s="9">
        <v>0.77441851088621805</v>
      </c>
      <c r="E260" s="9">
        <v>0.32624999999999998</v>
      </c>
      <c r="F260" s="9">
        <v>0.25</v>
      </c>
      <c r="G260" s="9">
        <v>1.0968834499664999</v>
      </c>
      <c r="N260" s="9">
        <f t="shared" si="33"/>
        <v>-1.1382808343367925</v>
      </c>
      <c r="O260" s="9">
        <f t="shared" si="34"/>
        <v>1.9641361988265882</v>
      </c>
      <c r="P260" s="9">
        <f t="shared" si="35"/>
        <v>-0.17656276779013835</v>
      </c>
      <c r="Q260" s="9">
        <f t="shared" si="38"/>
        <v>0.24263614169249642</v>
      </c>
      <c r="R260" s="9">
        <f t="shared" si="38"/>
        <v>0.87697988731421528</v>
      </c>
      <c r="S260" s="9">
        <f t="shared" si="38"/>
        <v>0.45597362336703201</v>
      </c>
      <c r="T260" s="9">
        <f t="shared" si="36"/>
        <v>1.0900526501113275</v>
      </c>
      <c r="U260" s="14">
        <f t="shared" si="39"/>
        <v>4.665982666142371E-5</v>
      </c>
      <c r="W260" s="14">
        <f t="shared" si="37"/>
        <v>2.6943170411718935E-3</v>
      </c>
      <c r="X260" s="16">
        <f t="shared" si="40"/>
        <v>0.62274618651426017</v>
      </c>
    </row>
    <row r="261" spans="1:24" x14ac:dyDescent="0.3">
      <c r="A261" s="9">
        <v>26</v>
      </c>
      <c r="B261" s="9">
        <v>0.82722243711388799</v>
      </c>
      <c r="C261" s="9">
        <v>0.90951769477778099</v>
      </c>
      <c r="D261" s="9">
        <v>0.75237344407228102</v>
      </c>
      <c r="E261" s="9">
        <v>0.17</v>
      </c>
      <c r="F261" s="9">
        <v>0.25</v>
      </c>
      <c r="G261" s="9">
        <v>0.82820437892072096</v>
      </c>
      <c r="N261" s="9">
        <f t="shared" si="33"/>
        <v>-1.0598914969442017</v>
      </c>
      <c r="O261" s="9">
        <f t="shared" si="34"/>
        <v>1.7498459500631165</v>
      </c>
      <c r="P261" s="9">
        <f t="shared" si="35"/>
        <v>-0.152071957908674</v>
      </c>
      <c r="Q261" s="9">
        <f t="shared" si="38"/>
        <v>0.25733019031825055</v>
      </c>
      <c r="R261" s="9">
        <f t="shared" si="38"/>
        <v>0.85193337071564013</v>
      </c>
      <c r="S261" s="9">
        <f t="shared" si="38"/>
        <v>0.46205510810597283</v>
      </c>
      <c r="T261" s="9">
        <f t="shared" si="36"/>
        <v>0.82872073127075663</v>
      </c>
      <c r="U261" s="14">
        <f t="shared" si="39"/>
        <v>2.666197493873537E-7</v>
      </c>
      <c r="W261" s="14">
        <f t="shared" si="37"/>
        <v>0.10277530784725034</v>
      </c>
      <c r="X261" s="16">
        <f t="shared" si="40"/>
        <v>6.2346005790086763E-2</v>
      </c>
    </row>
    <row r="262" spans="1:24" x14ac:dyDescent="0.3">
      <c r="A262" s="9">
        <v>27</v>
      </c>
      <c r="B262" s="9">
        <v>0.79294453563825096</v>
      </c>
      <c r="C262" s="9">
        <v>0.89047433182447799</v>
      </c>
      <c r="D262" s="9">
        <v>0.70609675554634299</v>
      </c>
      <c r="E262" s="9">
        <v>0.1153125</v>
      </c>
      <c r="F262" s="9">
        <v>0.25</v>
      </c>
      <c r="G262" s="9">
        <v>0.71980497042852198</v>
      </c>
      <c r="N262" s="9">
        <f t="shared" si="33"/>
        <v>-1.075510621795206</v>
      </c>
      <c r="O262" s="9">
        <f t="shared" si="34"/>
        <v>1.588879675376466</v>
      </c>
      <c r="P262" s="9">
        <f t="shared" si="35"/>
        <v>-0.25275209833095746</v>
      </c>
      <c r="Q262" s="9">
        <f t="shared" si="38"/>
        <v>0.25435652956212218</v>
      </c>
      <c r="R262" s="9">
        <f t="shared" si="38"/>
        <v>0.8304584228544023</v>
      </c>
      <c r="S262" s="9">
        <f t="shared" si="38"/>
        <v>0.43714623023481619</v>
      </c>
      <c r="T262" s="9">
        <f t="shared" si="36"/>
        <v>0.72582121295405677</v>
      </c>
      <c r="U262" s="14">
        <f t="shared" si="39"/>
        <v>3.6195174126053198E-5</v>
      </c>
      <c r="W262" s="14">
        <f t="shared" si="37"/>
        <v>0.18402837960524485</v>
      </c>
      <c r="X262" s="16">
        <f t="shared" si="40"/>
        <v>0.83581564072183789</v>
      </c>
    </row>
    <row r="263" spans="1:24" x14ac:dyDescent="0.3">
      <c r="A263" s="9">
        <v>28</v>
      </c>
      <c r="B263" s="9">
        <v>0.723369663208</v>
      </c>
      <c r="C263" s="9">
        <v>0.85051141274412101</v>
      </c>
      <c r="D263" s="9">
        <v>0.61523415419127503</v>
      </c>
      <c r="E263" s="9">
        <v>0.1</v>
      </c>
      <c r="F263" s="9">
        <v>0.25</v>
      </c>
      <c r="G263" s="9">
        <v>0.68732462371429803</v>
      </c>
      <c r="N263" s="9">
        <f t="shared" si="33"/>
        <v>-1.1759976917755393</v>
      </c>
      <c r="O263" s="9">
        <f t="shared" si="34"/>
        <v>1.3677808571709333</v>
      </c>
      <c r="P263" s="9">
        <f t="shared" si="35"/>
        <v>-0.49467513358434478</v>
      </c>
      <c r="Q263" s="9">
        <f t="shared" si="38"/>
        <v>0.23577258484671337</v>
      </c>
      <c r="R263" s="9">
        <f t="shared" si="38"/>
        <v>0.79702138104229137</v>
      </c>
      <c r="S263" s="9">
        <f t="shared" si="38"/>
        <v>0.37879284573310668</v>
      </c>
      <c r="T263" s="9">
        <f t="shared" si="36"/>
        <v>0.68643982584860697</v>
      </c>
      <c r="U263" s="14">
        <f t="shared" si="39"/>
        <v>7.8286726313146766E-7</v>
      </c>
      <c r="W263" s="14">
        <f t="shared" si="37"/>
        <v>0.21295053447999579</v>
      </c>
      <c r="X263" s="16">
        <f t="shared" si="40"/>
        <v>0.12873070964773892</v>
      </c>
    </row>
    <row r="264" spans="1:24" x14ac:dyDescent="0.3">
      <c r="A264" s="9">
        <v>29</v>
      </c>
      <c r="B264" s="9">
        <v>0.90058022766249901</v>
      </c>
      <c r="C264" s="9">
        <v>0.94898905560733404</v>
      </c>
      <c r="D264" s="9">
        <v>0.85464077974807295</v>
      </c>
      <c r="E264" s="9">
        <v>0.4</v>
      </c>
      <c r="F264" s="9">
        <v>0.25</v>
      </c>
      <c r="G264" s="9">
        <v>1.21755087461261</v>
      </c>
      <c r="N264" s="9">
        <f t="shared" si="33"/>
        <v>-1.1068026345560504</v>
      </c>
      <c r="O264" s="9">
        <f t="shared" si="34"/>
        <v>2.2188201978457762</v>
      </c>
      <c r="P264" s="9">
        <f t="shared" si="35"/>
        <v>1.6786230414038816E-2</v>
      </c>
      <c r="Q264" s="9">
        <f t="shared" si="38"/>
        <v>0.24846745672801535</v>
      </c>
      <c r="R264" s="9">
        <f t="shared" si="38"/>
        <v>0.90192688603961879</v>
      </c>
      <c r="S264" s="9">
        <f t="shared" si="38"/>
        <v>0.50419645906498278</v>
      </c>
      <c r="T264" s="9">
        <f t="shared" si="36"/>
        <v>1.2153600614904647</v>
      </c>
      <c r="U264" s="14">
        <f t="shared" si="39"/>
        <v>4.7996621361640701E-6</v>
      </c>
      <c r="W264" s="14">
        <f t="shared" si="37"/>
        <v>4.7280219717922281E-3</v>
      </c>
      <c r="X264" s="16">
        <f t="shared" si="40"/>
        <v>0.17993606409607829</v>
      </c>
    </row>
    <row r="265" spans="1:24" x14ac:dyDescent="0.3">
      <c r="A265" s="9">
        <v>30</v>
      </c>
      <c r="B265" s="9">
        <v>0.93966736106488902</v>
      </c>
      <c r="C265" s="9">
        <v>0.96936441087182901</v>
      </c>
      <c r="D265" s="9">
        <v>0.91088009787415303</v>
      </c>
      <c r="E265" s="9">
        <v>0.47222222222222199</v>
      </c>
      <c r="F265" s="9">
        <v>0.25</v>
      </c>
      <c r="G265" s="9">
        <v>1.33065599191978</v>
      </c>
      <c r="N265" s="9">
        <f t="shared" si="33"/>
        <v>-1.1027029113966913</v>
      </c>
      <c r="O265" s="9">
        <f t="shared" si="34"/>
        <v>2.4181907978140282</v>
      </c>
      <c r="P265" s="9">
        <f t="shared" si="35"/>
        <v>0.14418306906092937</v>
      </c>
      <c r="Q265" s="9">
        <f t="shared" si="38"/>
        <v>0.24923379287288724</v>
      </c>
      <c r="R265" s="9">
        <f t="shared" si="38"/>
        <v>0.91820396637654533</v>
      </c>
      <c r="S265" s="9">
        <f t="shared" si="38"/>
        <v>0.53598345125001989</v>
      </c>
      <c r="T265" s="9">
        <f t="shared" si="36"/>
        <v>1.3310037182288426</v>
      </c>
      <c r="U265" s="14">
        <f t="shared" si="39"/>
        <v>1.2091358601426126E-7</v>
      </c>
      <c r="W265" s="14">
        <f t="shared" si="37"/>
        <v>3.3075144049685277E-2</v>
      </c>
      <c r="X265" s="16">
        <f t="shared" si="40"/>
        <v>2.6131946286197541E-2</v>
      </c>
    </row>
    <row r="266" spans="1:24" x14ac:dyDescent="0.3">
      <c r="A266" s="9">
        <v>31</v>
      </c>
      <c r="B266" s="9">
        <v>0.93311773293603195</v>
      </c>
      <c r="C266" s="9">
        <v>0.96598019282800596</v>
      </c>
      <c r="D266" s="9">
        <v>0.90137324759278004</v>
      </c>
      <c r="E266" s="9">
        <v>0.3203125</v>
      </c>
      <c r="F266" s="9">
        <v>0.25</v>
      </c>
      <c r="G266" s="9">
        <v>1.0991333971081301</v>
      </c>
      <c r="N266" s="9">
        <f t="shared" si="33"/>
        <v>-1.01220884867926</v>
      </c>
      <c r="O266" s="9">
        <f t="shared" si="34"/>
        <v>2.2366108188444915</v>
      </c>
      <c r="P266" s="9">
        <f t="shared" si="35"/>
        <v>0.20107831967685674</v>
      </c>
      <c r="Q266" s="9">
        <f t="shared" si="38"/>
        <v>0.26654779807414103</v>
      </c>
      <c r="R266" s="9">
        <f t="shared" si="38"/>
        <v>0.9034893379080019</v>
      </c>
      <c r="S266" s="9">
        <f t="shared" si="38"/>
        <v>0.55010088493558562</v>
      </c>
      <c r="T266" s="9">
        <f t="shared" si="36"/>
        <v>1.0996019853746786</v>
      </c>
      <c r="U266" s="14">
        <f t="shared" si="39"/>
        <v>2.1957496354692574E-7</v>
      </c>
      <c r="W266" s="14">
        <f t="shared" si="37"/>
        <v>2.4658041406681232E-3</v>
      </c>
      <c r="X266" s="16">
        <f t="shared" si="40"/>
        <v>4.2632520109149127E-2</v>
      </c>
    </row>
    <row r="267" spans="1:24" x14ac:dyDescent="0.3">
      <c r="A267" s="9">
        <v>32</v>
      </c>
      <c r="B267" s="9">
        <v>0.67803485561868704</v>
      </c>
      <c r="C267" s="9">
        <v>0.82342871920931104</v>
      </c>
      <c r="D267" s="9">
        <v>0.55831337274136505</v>
      </c>
      <c r="E267" s="9">
        <v>6.0816326530612003E-2</v>
      </c>
      <c r="F267" s="9">
        <v>0.25</v>
      </c>
      <c r="G267" s="9">
        <v>0.60217886105393603</v>
      </c>
      <c r="N267" s="9">
        <f t="shared" si="33"/>
        <v>-1.2273322763243213</v>
      </c>
      <c r="O267" s="9">
        <f t="shared" si="34"/>
        <v>1.195751577828337</v>
      </c>
      <c r="P267" s="9">
        <f t="shared" si="35"/>
        <v>-0.62361869964808991</v>
      </c>
      <c r="Q267" s="9">
        <f t="shared" si="38"/>
        <v>0.22664868080731462</v>
      </c>
      <c r="R267" s="9">
        <f t="shared" si="38"/>
        <v>0.76776815077956884</v>
      </c>
      <c r="S267" s="9">
        <f t="shared" si="38"/>
        <v>0.34895888273009101</v>
      </c>
      <c r="T267" s="9">
        <f t="shared" si="36"/>
        <v>0.60872329273435655</v>
      </c>
      <c r="U267" s="14">
        <f t="shared" si="39"/>
        <v>4.2829586019691682E-5</v>
      </c>
      <c r="W267" s="14">
        <f t="shared" si="37"/>
        <v>0.29878402265108328</v>
      </c>
      <c r="X267" s="16">
        <f t="shared" si="40"/>
        <v>1.0867919988035486</v>
      </c>
    </row>
    <row r="268" spans="1:24" x14ac:dyDescent="0.3">
      <c r="A268" s="9">
        <v>33</v>
      </c>
      <c r="B268" s="9">
        <v>0.89158042542455795</v>
      </c>
      <c r="C268" s="9">
        <v>0.94423536548074605</v>
      </c>
      <c r="D268" s="9">
        <v>0.84186176885623698</v>
      </c>
      <c r="E268" s="9">
        <v>0.24326530612244901</v>
      </c>
      <c r="F268" s="9">
        <v>0.25</v>
      </c>
      <c r="G268" s="9">
        <v>0.96503698071867905</v>
      </c>
      <c r="N268" s="9">
        <f t="shared" si="33"/>
        <v>-1.0169014598406672</v>
      </c>
      <c r="O268" s="9">
        <f t="shared" si="34"/>
        <v>2.0248397500062012</v>
      </c>
      <c r="P268" s="9">
        <f t="shared" si="35"/>
        <v>6.7176142267917016E-2</v>
      </c>
      <c r="Q268" s="9">
        <f t="shared" si="38"/>
        <v>0.26563139786478696</v>
      </c>
      <c r="R268" s="9">
        <f t="shared" si="38"/>
        <v>0.88338052299894521</v>
      </c>
      <c r="S268" s="9">
        <f t="shared" si="38"/>
        <v>0.51678772297082365</v>
      </c>
      <c r="T268" s="9">
        <f t="shared" si="36"/>
        <v>0.96624226292417614</v>
      </c>
      <c r="U268" s="14">
        <f t="shared" si="39"/>
        <v>1.4527051948879379E-6</v>
      </c>
      <c r="W268" s="14">
        <f t="shared" si="37"/>
        <v>3.3765268047791869E-2</v>
      </c>
      <c r="X268" s="16">
        <f t="shared" si="40"/>
        <v>0.1248949241923869</v>
      </c>
    </row>
    <row r="269" spans="1:24" x14ac:dyDescent="0.3">
      <c r="A269" s="9">
        <v>34</v>
      </c>
      <c r="B269" s="9">
        <v>0.96611717808573405</v>
      </c>
      <c r="C269" s="9">
        <v>0.98291259941346498</v>
      </c>
      <c r="D269" s="9">
        <v>0.94960874685024999</v>
      </c>
      <c r="E269" s="9">
        <v>0.54734693877550999</v>
      </c>
      <c r="F269" s="9">
        <v>0.25</v>
      </c>
      <c r="G269" s="9">
        <v>1.4429816731712799</v>
      </c>
      <c r="N269" s="9">
        <f t="shared" si="33"/>
        <v>-1.1184217266091601</v>
      </c>
      <c r="O269" s="9">
        <f t="shared" si="34"/>
        <v>2.5820140380452266</v>
      </c>
      <c r="P269" s="9">
        <f t="shared" si="35"/>
        <v>0.21909327083501373</v>
      </c>
      <c r="Q269" s="9">
        <f t="shared" si="38"/>
        <v>0.24630415439968847</v>
      </c>
      <c r="R269" s="9">
        <f t="shared" si="38"/>
        <v>0.92969502501539403</v>
      </c>
      <c r="S269" s="9">
        <f t="shared" si="38"/>
        <v>0.55455526258739296</v>
      </c>
      <c r="T269" s="9">
        <f t="shared" si="36"/>
        <v>1.4443485609088889</v>
      </c>
      <c r="U269" s="14">
        <f t="shared" si="39"/>
        <v>1.8683820872257335E-6</v>
      </c>
      <c r="W269" s="14">
        <f t="shared" si="37"/>
        <v>8.6548586941463931E-2</v>
      </c>
      <c r="X269" s="16">
        <f t="shared" si="40"/>
        <v>9.472661801760178E-2</v>
      </c>
    </row>
    <row r="270" spans="1:24" x14ac:dyDescent="0.3">
      <c r="A270" s="9">
        <v>35</v>
      </c>
      <c r="B270" s="9">
        <v>0.98325960470347495</v>
      </c>
      <c r="C270" s="9">
        <v>0.99159447593432803</v>
      </c>
      <c r="D270" s="9">
        <v>0.97499479243333698</v>
      </c>
      <c r="E270" s="9">
        <v>0.6278125</v>
      </c>
      <c r="F270" s="9">
        <v>0.25</v>
      </c>
      <c r="G270" s="9">
        <v>1.5568526794101301</v>
      </c>
      <c r="N270" s="9">
        <f t="shared" si="33"/>
        <v>-1.1498892048343254</v>
      </c>
      <c r="O270" s="9">
        <f t="shared" si="34"/>
        <v>2.7223199550427593</v>
      </c>
      <c r="P270" s="9">
        <f t="shared" si="35"/>
        <v>0.25123296024726638</v>
      </c>
      <c r="Q270" s="9">
        <f t="shared" si="38"/>
        <v>0.24050932082225199</v>
      </c>
      <c r="R270" s="9">
        <f t="shared" si="38"/>
        <v>0.93833091686690495</v>
      </c>
      <c r="S270" s="9">
        <f t="shared" si="38"/>
        <v>0.5624799511240236</v>
      </c>
      <c r="T270" s="9">
        <f t="shared" si="36"/>
        <v>1.5590048179048424</v>
      </c>
      <c r="U270" s="14">
        <f t="shared" si="39"/>
        <v>4.631700100422511E-6</v>
      </c>
      <c r="W270" s="14">
        <f t="shared" si="37"/>
        <v>0.16651493724400571</v>
      </c>
      <c r="X270" s="16">
        <f t="shared" si="40"/>
        <v>0.13823648975750952</v>
      </c>
    </row>
    <row r="271" spans="1:24" x14ac:dyDescent="0.3">
      <c r="A271" s="9">
        <v>36</v>
      </c>
      <c r="B271" s="9">
        <v>0.63822315837842403</v>
      </c>
      <c r="C271" s="9">
        <v>0.79888870212215701</v>
      </c>
      <c r="D271" s="9">
        <v>0.50986927066124299</v>
      </c>
      <c r="E271" s="9">
        <v>4.4691358024691E-2</v>
      </c>
      <c r="F271" s="9">
        <v>0.25</v>
      </c>
      <c r="G271" s="9">
        <v>0.56568919038847898</v>
      </c>
      <c r="N271" s="9">
        <f t="shared" si="33"/>
        <v>-1.2876234635166091</v>
      </c>
      <c r="O271" s="9">
        <f t="shared" si="34"/>
        <v>1.0658505778530525</v>
      </c>
      <c r="P271" s="9">
        <f t="shared" si="35"/>
        <v>-0.73876751265846186</v>
      </c>
      <c r="Q271" s="9">
        <f t="shared" si="38"/>
        <v>0.21625533590878321</v>
      </c>
      <c r="R271" s="9">
        <f t="shared" si="38"/>
        <v>0.74380700990127557</v>
      </c>
      <c r="S271" s="9">
        <f t="shared" si="38"/>
        <v>0.32327371358006812</v>
      </c>
      <c r="T271" s="9">
        <f t="shared" si="36"/>
        <v>0.57505527319179628</v>
      </c>
      <c r="U271" s="14">
        <f t="shared" si="39"/>
        <v>8.7723507078596045E-5</v>
      </c>
      <c r="W271" s="14">
        <f t="shared" si="37"/>
        <v>0.34000685865507085</v>
      </c>
      <c r="X271" s="16">
        <f t="shared" si="40"/>
        <v>1.6556941448510401</v>
      </c>
    </row>
    <row r="272" spans="1:24" x14ac:dyDescent="0.3">
      <c r="A272" s="9">
        <v>37</v>
      </c>
      <c r="B272" s="9">
        <v>0.86512518623928802</v>
      </c>
      <c r="C272" s="9">
        <v>0.93012105999127204</v>
      </c>
      <c r="D272" s="9">
        <v>0.80467115525003297</v>
      </c>
      <c r="E272" s="9">
        <v>0.178765432098765</v>
      </c>
      <c r="F272" s="9">
        <v>0.25</v>
      </c>
      <c r="G272" s="9">
        <v>0.846924321732066</v>
      </c>
      <c r="N272" s="9">
        <f t="shared" si="33"/>
        <v>-1.0113399469083078</v>
      </c>
      <c r="O272" s="9">
        <f t="shared" si="34"/>
        <v>1.874766485354155</v>
      </c>
      <c r="P272" s="9">
        <f t="shared" si="35"/>
        <v>-5.7198449326386624E-3</v>
      </c>
      <c r="Q272" s="9">
        <f t="shared" si="38"/>
        <v>0.26671770288467461</v>
      </c>
      <c r="R272" s="9">
        <f t="shared" si="38"/>
        <v>0.8670088368169645</v>
      </c>
      <c r="S272" s="9">
        <f t="shared" si="38"/>
        <v>0.49857004266545313</v>
      </c>
      <c r="T272" s="9">
        <f t="shared" si="36"/>
        <v>0.85226328819893638</v>
      </c>
      <c r="U272" s="14">
        <f t="shared" si="39"/>
        <v>2.8504562934366348E-5</v>
      </c>
      <c r="W272" s="14">
        <f t="shared" si="37"/>
        <v>9.1123045345385234E-2</v>
      </c>
      <c r="X272" s="16">
        <f t="shared" si="40"/>
        <v>0.63039475073186269</v>
      </c>
    </row>
    <row r="273" spans="1:24" x14ac:dyDescent="0.3">
      <c r="A273" s="9">
        <v>38</v>
      </c>
      <c r="B273" s="9">
        <v>0.95986863223136598</v>
      </c>
      <c r="C273" s="9">
        <v>0.97972885648600005</v>
      </c>
      <c r="D273" s="9">
        <v>0.94041099743281698</v>
      </c>
      <c r="E273" s="9">
        <v>0.40222222222222198</v>
      </c>
      <c r="F273" s="9">
        <v>0.25</v>
      </c>
      <c r="G273" s="9">
        <v>1.2323511142385699</v>
      </c>
      <c r="N273" s="9">
        <f t="shared" si="33"/>
        <v>-1.0316917028802357</v>
      </c>
      <c r="O273" s="9">
        <f t="shared" si="34"/>
        <v>2.4083568887030165</v>
      </c>
      <c r="P273" s="9">
        <f t="shared" si="35"/>
        <v>0.2728245458589954</v>
      </c>
      <c r="Q273" s="9">
        <f t="shared" si="38"/>
        <v>0.26275626375097094</v>
      </c>
      <c r="R273" s="9">
        <f t="shared" si="38"/>
        <v>0.91746234226947265</v>
      </c>
      <c r="S273" s="9">
        <f t="shared" si="38"/>
        <v>0.56778619501170824</v>
      </c>
      <c r="T273" s="9">
        <f t="shared" si="36"/>
        <v>1.2318521018922306</v>
      </c>
      <c r="U273" s="14">
        <f t="shared" si="39"/>
        <v>2.4901332179906495E-7</v>
      </c>
      <c r="W273" s="14">
        <f t="shared" si="37"/>
        <v>6.9824161786573961E-3</v>
      </c>
      <c r="X273" s="16">
        <f t="shared" si="40"/>
        <v>4.0492708658573746E-2</v>
      </c>
    </row>
    <row r="274" spans="1:24" x14ac:dyDescent="0.3">
      <c r="A274" s="9">
        <v>39</v>
      </c>
      <c r="B274" s="9">
        <v>0.993341005660478</v>
      </c>
      <c r="C274" s="9">
        <v>0.99666494152271501</v>
      </c>
      <c r="D274" s="9">
        <v>0.99002815531871602</v>
      </c>
      <c r="E274" s="9">
        <v>0.71506172839506199</v>
      </c>
      <c r="F274" s="9">
        <v>0.25</v>
      </c>
      <c r="G274" s="9">
        <v>1.674057002059</v>
      </c>
      <c r="N274" s="9">
        <f t="shared" si="33"/>
        <v>-1.1946022165318091</v>
      </c>
      <c r="O274" s="9">
        <f t="shared" si="34"/>
        <v>2.8472893632088079</v>
      </c>
      <c r="P274" s="9">
        <f t="shared" si="35"/>
        <v>0.24819994883947982</v>
      </c>
      <c r="Q274" s="9">
        <f t="shared" si="38"/>
        <v>0.2324368436565076</v>
      </c>
      <c r="R274" s="9">
        <f t="shared" si="38"/>
        <v>0.94517839727139019</v>
      </c>
      <c r="S274" s="9">
        <f t="shared" si="38"/>
        <v>0.5617333974716423</v>
      </c>
      <c r="T274" s="9">
        <f t="shared" si="36"/>
        <v>1.6764761670667321</v>
      </c>
      <c r="U274" s="14">
        <f t="shared" si="39"/>
        <v>5.8523593346354206E-6</v>
      </c>
      <c r="W274" s="14">
        <f t="shared" si="37"/>
        <v>0.2759051491665635</v>
      </c>
      <c r="X274" s="16">
        <f t="shared" si="40"/>
        <v>0.14450911795456492</v>
      </c>
    </row>
    <row r="275" spans="1:24" x14ac:dyDescent="0.3">
      <c r="A275" s="23">
        <v>1</v>
      </c>
      <c r="B275" s="23">
        <v>1</v>
      </c>
      <c r="C275" s="23">
        <v>1</v>
      </c>
      <c r="D275" s="23">
        <v>1</v>
      </c>
      <c r="E275" s="23">
        <v>1</v>
      </c>
      <c r="F275" s="23">
        <v>0.33333333333333331</v>
      </c>
      <c r="G275" s="23">
        <v>2.0173665543612298</v>
      </c>
      <c r="N275" s="9">
        <f t="shared" ref="N275:N338" si="41">B275*$I$1+C275*$J$1+D275*$K$1+E275*$L$1+F275*$M$1+$I$4</f>
        <v>-1.4016195451616118</v>
      </c>
      <c r="O275" s="9">
        <f t="shared" ref="O275:O338" si="42">$I$2*B275+$J$2*C275+$K$2*D275+$L$2*E275+$M$2*F275+$I$5</f>
        <v>3.1508233744426946</v>
      </c>
      <c r="P275" s="9">
        <f t="shared" ref="P275:P338" si="43">$I$3*B275+$J$3*C275+$K$3*D275+$L$3*E275+$M$3*F275+$I$6</f>
        <v>-2.585340818664239E-3</v>
      </c>
      <c r="Q275" s="9">
        <f t="shared" ref="Q275:Q338" si="44">1/(1+EXP(-N275))</f>
        <v>0.19755923985267693</v>
      </c>
      <c r="R275" s="9">
        <f t="shared" ref="R275:R338" si="45">1/(1+EXP(-O275))</f>
        <v>0.95894115278971914</v>
      </c>
      <c r="S275" s="9">
        <f t="shared" ref="S275:S338" si="46">1/(1+EXP(-P275))</f>
        <v>0.4993536651553418</v>
      </c>
      <c r="T275" s="9">
        <f t="shared" ref="T275:T338" si="47">$I$7*Q275+$J$7*R275+$K$7*S275+$I$8</f>
        <v>2.0167526206642088</v>
      </c>
      <c r="U275" s="14">
        <f t="shared" ref="U275:U338" si="48">(G275-T275)^2</f>
        <v>3.7691458433788214E-7</v>
      </c>
      <c r="W275" s="14">
        <f t="shared" ref="W275:W338" si="49">(G275-$V$4)^2</f>
        <v>0.75442477723009238</v>
      </c>
      <c r="X275" s="16">
        <f t="shared" ref="X275:X338" si="50">100*ABS((T275-G275)/G275)</f>
        <v>3.0432431612082551E-2</v>
      </c>
    </row>
    <row r="276" spans="1:24" x14ac:dyDescent="0.3">
      <c r="A276" s="23">
        <v>2</v>
      </c>
      <c r="B276" s="23">
        <v>0.99805795702633604</v>
      </c>
      <c r="C276" s="23">
        <v>0.99902850661346798</v>
      </c>
      <c r="D276" s="23">
        <v>0.99708835032170995</v>
      </c>
      <c r="E276" s="23">
        <v>0.90500000000000003</v>
      </c>
      <c r="F276" s="23">
        <v>0.33333333333333331</v>
      </c>
      <c r="G276" s="23">
        <v>1.90810502060509</v>
      </c>
      <c r="N276" s="9">
        <f t="shared" si="41"/>
        <v>-1.3420744406033795</v>
      </c>
      <c r="O276" s="9">
        <f t="shared" si="42"/>
        <v>3.0439280240330522</v>
      </c>
      <c r="P276" s="9">
        <f t="shared" si="43"/>
        <v>4.1919195780653618E-2</v>
      </c>
      <c r="Q276" s="9">
        <f t="shared" si="44"/>
        <v>0.20716912454633191</v>
      </c>
      <c r="R276" s="9">
        <f t="shared" si="45"/>
        <v>0.95451965689935026</v>
      </c>
      <c r="S276" s="9">
        <f t="shared" si="46"/>
        <v>0.51047826460631651</v>
      </c>
      <c r="T276" s="9">
        <f t="shared" si="47"/>
        <v>1.91021330548076</v>
      </c>
      <c r="U276" s="14">
        <f t="shared" si="48"/>
        <v>4.44486511697862E-6</v>
      </c>
      <c r="W276" s="14">
        <f t="shared" si="49"/>
        <v>0.57655890401510124</v>
      </c>
      <c r="X276" s="16">
        <f t="shared" si="50"/>
        <v>0.11049102920977437</v>
      </c>
    </row>
    <row r="277" spans="1:24" x14ac:dyDescent="0.3">
      <c r="A277" s="23">
        <v>3</v>
      </c>
      <c r="B277" s="23">
        <v>0.99152490614171696</v>
      </c>
      <c r="C277" s="23">
        <v>0.99575343641973801</v>
      </c>
      <c r="D277" s="23">
        <v>0.98731433258637302</v>
      </c>
      <c r="E277" s="23">
        <v>0.82</v>
      </c>
      <c r="F277" s="23">
        <v>0.33333333333333331</v>
      </c>
      <c r="G277" s="23">
        <v>1.8043467135565801</v>
      </c>
      <c r="N277" s="9">
        <f t="shared" si="41"/>
        <v>-1.294506778430071</v>
      </c>
      <c r="O277" s="9">
        <f t="shared" si="42"/>
        <v>2.9327540006343265</v>
      </c>
      <c r="P277" s="9">
        <f t="shared" si="43"/>
        <v>5.9735745057257317E-2</v>
      </c>
      <c r="Q277" s="9">
        <f t="shared" si="44"/>
        <v>0.21509096871159986</v>
      </c>
      <c r="R277" s="9">
        <f t="shared" si="45"/>
        <v>0.94944203595932508</v>
      </c>
      <c r="S277" s="9">
        <f t="shared" si="46"/>
        <v>0.51492949704426227</v>
      </c>
      <c r="T277" s="9">
        <f t="shared" si="47"/>
        <v>1.8082946120054562</v>
      </c>
      <c r="U277" s="14">
        <f t="shared" si="48"/>
        <v>1.5585902162638381E-5</v>
      </c>
      <c r="W277" s="14">
        <f t="shared" si="49"/>
        <v>0.42975426236853181</v>
      </c>
      <c r="X277" s="16">
        <f t="shared" si="50"/>
        <v>0.21879932605049809</v>
      </c>
    </row>
    <row r="278" spans="1:24" x14ac:dyDescent="0.3">
      <c r="A278" s="23">
        <v>4</v>
      </c>
      <c r="B278" s="23">
        <v>0.97911342554320102</v>
      </c>
      <c r="C278" s="23">
        <v>0.98950160461881098</v>
      </c>
      <c r="D278" s="23">
        <v>0.96883430567881701</v>
      </c>
      <c r="E278" s="23">
        <v>0.745</v>
      </c>
      <c r="F278" s="23">
        <v>0.33333333333333331</v>
      </c>
      <c r="G278" s="23">
        <v>1.70666193563351</v>
      </c>
      <c r="N278" s="9">
        <f t="shared" si="41"/>
        <v>-1.2606178527842811</v>
      </c>
      <c r="O278" s="9">
        <f t="shared" si="42"/>
        <v>2.8132715684566465</v>
      </c>
      <c r="P278" s="9">
        <f t="shared" si="43"/>
        <v>4.5372717270465768E-2</v>
      </c>
      <c r="Q278" s="9">
        <f t="shared" si="44"/>
        <v>0.22086755064044486</v>
      </c>
      <c r="R278" s="9">
        <f t="shared" si="45"/>
        <v>0.94338879546695376</v>
      </c>
      <c r="S278" s="9">
        <f t="shared" si="46"/>
        <v>0.51134123371683748</v>
      </c>
      <c r="T278" s="9">
        <f t="shared" si="47"/>
        <v>1.7123541109924574</v>
      </c>
      <c r="U278" s="14">
        <f t="shared" si="48"/>
        <v>3.2400860317007888E-5</v>
      </c>
      <c r="W278" s="14">
        <f t="shared" si="49"/>
        <v>0.31122080525624762</v>
      </c>
      <c r="X278" s="16">
        <f t="shared" si="50"/>
        <v>0.33352682450461213</v>
      </c>
    </row>
    <row r="279" spans="1:24" x14ac:dyDescent="0.3">
      <c r="A279" s="23">
        <v>5</v>
      </c>
      <c r="B279" s="23">
        <v>0.95913394700955001</v>
      </c>
      <c r="C279" s="23">
        <v>0.97935384157593897</v>
      </c>
      <c r="D279" s="23">
        <v>0.93933151558969596</v>
      </c>
      <c r="E279" s="23">
        <v>0.68</v>
      </c>
      <c r="F279" s="23">
        <v>0.33333333333333331</v>
      </c>
      <c r="G279" s="23">
        <v>1.61706617652562</v>
      </c>
      <c r="N279" s="9">
        <f t="shared" si="41"/>
        <v>-1.2428546674967011</v>
      </c>
      <c r="O279" s="9">
        <f t="shared" si="42"/>
        <v>2.6803658669327577</v>
      </c>
      <c r="P279" s="9">
        <f t="shared" si="43"/>
        <v>-7.8472711734446365E-3</v>
      </c>
      <c r="Q279" s="9">
        <f t="shared" si="44"/>
        <v>0.22393948044445131</v>
      </c>
      <c r="R279" s="9">
        <f t="shared" si="45"/>
        <v>0.93585808925736136</v>
      </c>
      <c r="S279" s="9">
        <f t="shared" si="46"/>
        <v>0.49803819227391705</v>
      </c>
      <c r="T279" s="9">
        <f t="shared" si="47"/>
        <v>1.6235585965120327</v>
      </c>
      <c r="U279" s="14">
        <f t="shared" si="48"/>
        <v>4.2151517279971092E-5</v>
      </c>
      <c r="W279" s="14">
        <f t="shared" si="49"/>
        <v>0.21928233297561386</v>
      </c>
      <c r="X279" s="16">
        <f t="shared" si="50"/>
        <v>0.40149377190994873</v>
      </c>
    </row>
    <row r="280" spans="1:24" x14ac:dyDescent="0.3">
      <c r="A280" s="23">
        <v>6</v>
      </c>
      <c r="B280" s="23">
        <v>0.92929286340991601</v>
      </c>
      <c r="C280" s="23">
        <v>0.96399837313655001</v>
      </c>
      <c r="D280" s="23">
        <v>0.89583680849456504</v>
      </c>
      <c r="E280" s="23">
        <v>0.625</v>
      </c>
      <c r="F280" s="23">
        <v>0.33333333333333331</v>
      </c>
      <c r="G280" s="23">
        <v>1.5362038112701799</v>
      </c>
      <c r="N280" s="9">
        <f t="shared" si="41"/>
        <v>-1.2449069415767495</v>
      </c>
      <c r="O280" s="9">
        <f t="shared" si="42"/>
        <v>2.5273800859448219</v>
      </c>
      <c r="P280" s="9">
        <f t="shared" si="43"/>
        <v>-0.10807702534031638</v>
      </c>
      <c r="Q280" s="9">
        <f t="shared" si="44"/>
        <v>0.22358301660253885</v>
      </c>
      <c r="R280" s="9">
        <f t="shared" si="45"/>
        <v>0.92603911388667648</v>
      </c>
      <c r="S280" s="9">
        <f t="shared" si="46"/>
        <v>0.47300701317240235</v>
      </c>
      <c r="T280" s="9">
        <f t="shared" si="47"/>
        <v>1.5429623742484329</v>
      </c>
      <c r="U280" s="14">
        <f t="shared" si="48"/>
        <v>4.5678173531011336E-5</v>
      </c>
      <c r="W280" s="14">
        <f t="shared" si="49"/>
        <v>0.1500892588620078</v>
      </c>
      <c r="X280" s="16">
        <f t="shared" si="50"/>
        <v>0.43995223346469642</v>
      </c>
    </row>
    <row r="281" spans="1:24" x14ac:dyDescent="0.3">
      <c r="A281" s="23">
        <v>7</v>
      </c>
      <c r="B281" s="23">
        <v>0.88629579591014296</v>
      </c>
      <c r="C281" s="23">
        <v>0.941432841954296</v>
      </c>
      <c r="D281" s="23">
        <v>0.83438796995583098</v>
      </c>
      <c r="E281" s="23">
        <v>0.57999999999999996</v>
      </c>
      <c r="F281" s="23">
        <v>0.33333333333333331</v>
      </c>
      <c r="G281" s="23">
        <v>1.4663096652054599</v>
      </c>
      <c r="N281" s="9">
        <f t="shared" si="41"/>
        <v>-1.2727104968615193</v>
      </c>
      <c r="O281" s="9">
        <f t="shared" si="42"/>
        <v>2.3452165203537314</v>
      </c>
      <c r="P281" s="9">
        <f t="shared" si="43"/>
        <v>-0.2654425942500126</v>
      </c>
      <c r="Q281" s="9">
        <f t="shared" si="44"/>
        <v>0.21879361281388657</v>
      </c>
      <c r="R281" s="9">
        <f t="shared" si="45"/>
        <v>0.91255325934580267</v>
      </c>
      <c r="S281" s="9">
        <f t="shared" si="46"/>
        <v>0.43402627177505204</v>
      </c>
      <c r="T281" s="9">
        <f t="shared" si="47"/>
        <v>1.4718625271581871</v>
      </c>
      <c r="U281" s="14">
        <f t="shared" si="48"/>
        <v>3.0834275866045275E-5</v>
      </c>
      <c r="W281" s="14">
        <f t="shared" si="49"/>
        <v>0.10081857198885079</v>
      </c>
      <c r="X281" s="16">
        <f t="shared" si="50"/>
        <v>0.37869640257394921</v>
      </c>
    </row>
    <row r="282" spans="1:24" x14ac:dyDescent="0.3">
      <c r="A282" s="23">
        <v>8</v>
      </c>
      <c r="B282" s="23">
        <v>0.82493648944805298</v>
      </c>
      <c r="C282" s="23">
        <v>0.90826014414816902</v>
      </c>
      <c r="D282" s="23">
        <v>0.74925693481917399</v>
      </c>
      <c r="E282" s="23">
        <v>0.54500000000000004</v>
      </c>
      <c r="F282" s="23">
        <v>0.33333333333333331</v>
      </c>
      <c r="G282" s="23">
        <v>1.40904705236896</v>
      </c>
      <c r="N282" s="9">
        <f t="shared" si="41"/>
        <v>-1.3367784147901081</v>
      </c>
      <c r="O282" s="9">
        <f t="shared" si="42"/>
        <v>2.1202287068307824</v>
      </c>
      <c r="P282" s="9">
        <f t="shared" si="43"/>
        <v>-0.49310526014606981</v>
      </c>
      <c r="Q282" s="9">
        <f t="shared" si="44"/>
        <v>0.208040346290364</v>
      </c>
      <c r="R282" s="9">
        <f t="shared" si="45"/>
        <v>0.89285381092035576</v>
      </c>
      <c r="S282" s="9">
        <f t="shared" si="46"/>
        <v>0.37916232103629016</v>
      </c>
      <c r="T282" s="9">
        <f t="shared" si="47"/>
        <v>1.4126749706553214</v>
      </c>
      <c r="U282" s="14">
        <f t="shared" si="48"/>
        <v>1.3161791092515744E-5</v>
      </c>
      <c r="W282" s="14">
        <f t="shared" si="49"/>
        <v>6.7733597406012008E-2</v>
      </c>
      <c r="X282" s="16">
        <f t="shared" si="50"/>
        <v>0.25747318233709837</v>
      </c>
    </row>
    <row r="283" spans="1:24" x14ac:dyDescent="0.3">
      <c r="A283" s="23">
        <v>9</v>
      </c>
      <c r="B283" s="23">
        <v>0.73549094564436901</v>
      </c>
      <c r="C283" s="23">
        <v>0.85760768749141303</v>
      </c>
      <c r="D283" s="23">
        <v>0.63076268906494104</v>
      </c>
      <c r="E283" s="23">
        <v>0.52</v>
      </c>
      <c r="F283" s="23">
        <v>0.33333333333333331</v>
      </c>
      <c r="G283" s="23">
        <v>1.36662463735773</v>
      </c>
      <c r="N283" s="9">
        <f t="shared" si="41"/>
        <v>-1.4589414430078294</v>
      </c>
      <c r="O283" s="9">
        <f t="shared" si="42"/>
        <v>1.8280204451932114</v>
      </c>
      <c r="P283" s="9">
        <f t="shared" si="43"/>
        <v>-0.81006561241019726</v>
      </c>
      <c r="Q283" s="9">
        <f t="shared" si="44"/>
        <v>0.18862928213986427</v>
      </c>
      <c r="R283" s="9">
        <f t="shared" si="45"/>
        <v>0.86152573660379239</v>
      </c>
      <c r="S283" s="9">
        <f t="shared" si="46"/>
        <v>0.30787651426755552</v>
      </c>
      <c r="T283" s="9">
        <f t="shared" si="47"/>
        <v>1.3702783913701984</v>
      </c>
      <c r="U283" s="14">
        <f t="shared" si="48"/>
        <v>1.3349918383628704E-5</v>
      </c>
      <c r="W283" s="14">
        <f t="shared" si="49"/>
        <v>4.7451815483274554E-2</v>
      </c>
      <c r="X283" s="16">
        <f t="shared" si="50"/>
        <v>0.26735607661315386</v>
      </c>
    </row>
    <row r="284" spans="1:24" x14ac:dyDescent="0.3">
      <c r="A284" s="23">
        <v>10</v>
      </c>
      <c r="B284" s="23">
        <v>0.592782777626775</v>
      </c>
      <c r="C284" s="23">
        <v>0.769923877813109</v>
      </c>
      <c r="D284" s="23">
        <v>0.45639761485123198</v>
      </c>
      <c r="E284" s="23">
        <v>0.505</v>
      </c>
      <c r="F284" s="23">
        <v>0.33333333333333331</v>
      </c>
      <c r="G284" s="23">
        <v>1.3479515851702399</v>
      </c>
      <c r="N284" s="9">
        <f t="shared" si="41"/>
        <v>-1.7014195851666161</v>
      </c>
      <c r="O284" s="9">
        <f t="shared" si="42"/>
        <v>1.4066175728990211</v>
      </c>
      <c r="P284" s="9">
        <f t="shared" si="43"/>
        <v>-1.2506526164946152</v>
      </c>
      <c r="Q284" s="9">
        <f t="shared" si="44"/>
        <v>0.15427995003358172</v>
      </c>
      <c r="R284" s="9">
        <f t="shared" si="45"/>
        <v>0.80323189788187321</v>
      </c>
      <c r="S284" s="9">
        <f t="shared" si="46"/>
        <v>0.22258718823075102</v>
      </c>
      <c r="T284" s="9">
        <f t="shared" si="47"/>
        <v>1.3501919076450957</v>
      </c>
      <c r="U284" s="14">
        <f t="shared" si="48"/>
        <v>5.0190447913436896E-6</v>
      </c>
      <c r="W284" s="14">
        <f t="shared" si="49"/>
        <v>3.9665233008775932E-2</v>
      </c>
      <c r="X284" s="16">
        <f t="shared" si="50"/>
        <v>0.1662019986105647</v>
      </c>
    </row>
    <row r="285" spans="1:24" x14ac:dyDescent="0.3">
      <c r="A285" s="23">
        <v>11</v>
      </c>
      <c r="B285" s="23">
        <v>0.99798365800029598</v>
      </c>
      <c r="C285" s="23">
        <v>0.99899132028276205</v>
      </c>
      <c r="D285" s="23">
        <v>0.99697701212633705</v>
      </c>
      <c r="E285" s="23">
        <v>0.81</v>
      </c>
      <c r="F285" s="23">
        <v>0.33333333333333331</v>
      </c>
      <c r="G285" s="23">
        <v>1.79609350401927</v>
      </c>
      <c r="N285" s="9">
        <f t="shared" si="41"/>
        <v>-1.2803225265280274</v>
      </c>
      <c r="O285" s="9">
        <f t="shared" si="42"/>
        <v>2.9430958349971599</v>
      </c>
      <c r="P285" s="9">
        <f t="shared" si="43"/>
        <v>9.5035490230462538E-2</v>
      </c>
      <c r="Q285" s="9">
        <f t="shared" si="44"/>
        <v>0.21749532742768568</v>
      </c>
      <c r="R285" s="9">
        <f t="shared" si="45"/>
        <v>0.94993616207696607</v>
      </c>
      <c r="S285" s="9">
        <f t="shared" si="46"/>
        <v>0.52374100668808454</v>
      </c>
      <c r="T285" s="9">
        <f t="shared" si="47"/>
        <v>1.7986314315369514</v>
      </c>
      <c r="U285" s="14">
        <f t="shared" si="48"/>
        <v>6.441076085004156E-6</v>
      </c>
      <c r="W285" s="14">
        <f t="shared" si="49"/>
        <v>0.4190014883047396</v>
      </c>
      <c r="X285" s="16">
        <f t="shared" si="50"/>
        <v>0.14130263886607256</v>
      </c>
    </row>
    <row r="286" spans="1:24" x14ac:dyDescent="0.3">
      <c r="A286" s="23">
        <v>12</v>
      </c>
      <c r="B286" s="23">
        <v>0.99082969587065495</v>
      </c>
      <c r="C286" s="23">
        <v>0.99540428764932198</v>
      </c>
      <c r="D286" s="23">
        <v>0.986276127599925</v>
      </c>
      <c r="E286" s="23">
        <v>0.64</v>
      </c>
      <c r="F286" s="23">
        <v>0.33333333333333331</v>
      </c>
      <c r="G286" s="23">
        <v>1.58001890091037</v>
      </c>
      <c r="N286" s="9">
        <f t="shared" si="41"/>
        <v>-1.1781665835707122</v>
      </c>
      <c r="O286" s="9">
        <f t="shared" si="42"/>
        <v>2.7399106697974069</v>
      </c>
      <c r="P286" s="9">
        <f t="shared" si="43"/>
        <v>0.15784136261845105</v>
      </c>
      <c r="Q286" s="9">
        <f t="shared" si="44"/>
        <v>0.23538200950705152</v>
      </c>
      <c r="R286" s="9">
        <f t="shared" si="45"/>
        <v>0.93934100689564559</v>
      </c>
      <c r="S286" s="9">
        <f t="shared" si="46"/>
        <v>0.53937861834955314</v>
      </c>
      <c r="T286" s="9">
        <f t="shared" si="47"/>
        <v>1.5815618114439602</v>
      </c>
      <c r="U286" s="14">
        <f t="shared" si="48"/>
        <v>2.3805729146637066E-6</v>
      </c>
      <c r="W286" s="14">
        <f t="shared" si="49"/>
        <v>0.18595813979998738</v>
      </c>
      <c r="X286" s="16">
        <f t="shared" si="50"/>
        <v>9.7651397252352307E-2</v>
      </c>
    </row>
    <row r="287" spans="1:24" x14ac:dyDescent="0.3">
      <c r="A287" s="23">
        <v>13</v>
      </c>
      <c r="B287" s="23">
        <v>0.976358383123614</v>
      </c>
      <c r="C287" s="23">
        <v>0.98810848752736302</v>
      </c>
      <c r="D287" s="23">
        <v>0.96474800523293602</v>
      </c>
      <c r="E287" s="23">
        <v>0.49</v>
      </c>
      <c r="F287" s="23">
        <v>0.33333333333333331</v>
      </c>
      <c r="G287" s="23">
        <v>1.37103304641914</v>
      </c>
      <c r="N287" s="9">
        <f t="shared" si="41"/>
        <v>-1.0979741904524583</v>
      </c>
      <c r="O287" s="9">
        <f t="shared" si="42"/>
        <v>2.534396854807123</v>
      </c>
      <c r="P287" s="9">
        <f t="shared" si="43"/>
        <v>0.17639147837128333</v>
      </c>
      <c r="Q287" s="9">
        <f t="shared" si="44"/>
        <v>0.2501196625004814</v>
      </c>
      <c r="R287" s="9">
        <f t="shared" si="45"/>
        <v>0.92651826276922211</v>
      </c>
      <c r="S287" s="9">
        <f t="shared" si="46"/>
        <v>0.5439838859719468</v>
      </c>
      <c r="T287" s="9">
        <f t="shared" si="47"/>
        <v>1.3710411902745259</v>
      </c>
      <c r="U287" s="14">
        <f t="shared" si="48"/>
        <v>6.6322380545373077E-11</v>
      </c>
      <c r="W287" s="14">
        <f t="shared" si="49"/>
        <v>4.9391855630164121E-2</v>
      </c>
      <c r="X287" s="16">
        <f t="shared" si="50"/>
        <v>5.9399409861810612E-4</v>
      </c>
    </row>
    <row r="288" spans="1:24" x14ac:dyDescent="0.3">
      <c r="A288" s="23">
        <v>14</v>
      </c>
      <c r="B288" s="23">
        <v>0.95144310139704402</v>
      </c>
      <c r="C288" s="23">
        <v>0.97541944895365096</v>
      </c>
      <c r="D288" s="23">
        <v>0.92805610567545704</v>
      </c>
      <c r="E288" s="23">
        <v>0.36</v>
      </c>
      <c r="F288" s="23">
        <v>0.33333333333333331</v>
      </c>
      <c r="G288" s="23">
        <v>1.1710073705878301</v>
      </c>
      <c r="N288" s="9">
        <f t="shared" si="41"/>
        <v>-1.0441711383011929</v>
      </c>
      <c r="O288" s="9">
        <f t="shared" si="42"/>
        <v>2.3170035885205413</v>
      </c>
      <c r="P288" s="9">
        <f t="shared" si="43"/>
        <v>0.13807631209823612</v>
      </c>
      <c r="Q288" s="9">
        <f t="shared" si="44"/>
        <v>0.26034597216034344</v>
      </c>
      <c r="R288" s="9">
        <f t="shared" si="45"/>
        <v>0.91027551241533566</v>
      </c>
      <c r="S288" s="9">
        <f t="shared" si="46"/>
        <v>0.53446433999989484</v>
      </c>
      <c r="T288" s="9">
        <f t="shared" si="47"/>
        <v>1.1716731363171897</v>
      </c>
      <c r="U288" s="14">
        <f t="shared" si="48"/>
        <v>4.4324400638973756E-7</v>
      </c>
      <c r="W288" s="14">
        <f t="shared" si="49"/>
        <v>4.9359995436958526E-4</v>
      </c>
      <c r="X288" s="16">
        <f t="shared" si="50"/>
        <v>5.6854102380705561E-2</v>
      </c>
    </row>
    <row r="289" spans="1:24" x14ac:dyDescent="0.3">
      <c r="A289" s="23">
        <v>15</v>
      </c>
      <c r="B289" s="23">
        <v>0.91157954485698101</v>
      </c>
      <c r="C289" s="23">
        <v>0.95476674892718205</v>
      </c>
      <c r="D289" s="23">
        <v>0.87034583843162105</v>
      </c>
      <c r="E289" s="23">
        <v>0.25</v>
      </c>
      <c r="F289" s="23">
        <v>0.33333333333333331</v>
      </c>
      <c r="G289" s="23">
        <v>0.98389694899645996</v>
      </c>
      <c r="N289" s="9">
        <f t="shared" si="41"/>
        <v>-1.023955313909757</v>
      </c>
      <c r="O289" s="9">
        <f t="shared" si="42"/>
        <v>2.0746090086650524</v>
      </c>
      <c r="P289" s="9">
        <f t="shared" si="43"/>
        <v>2.6768139029459959E-2</v>
      </c>
      <c r="Q289" s="9">
        <f t="shared" si="44"/>
        <v>0.26425766971608372</v>
      </c>
      <c r="R289" s="9">
        <f t="shared" si="45"/>
        <v>0.88841070394639621</v>
      </c>
      <c r="S289" s="9">
        <f t="shared" si="46"/>
        <v>0.50669163519720073</v>
      </c>
      <c r="T289" s="9">
        <f t="shared" si="47"/>
        <v>0.98675234387884692</v>
      </c>
      <c r="U289" s="14">
        <f t="shared" si="48"/>
        <v>8.1532799343615981E-6</v>
      </c>
      <c r="W289" s="14">
        <f t="shared" si="49"/>
        <v>2.7189804373689615E-2</v>
      </c>
      <c r="X289" s="16">
        <f t="shared" si="50"/>
        <v>0.29021279975503067</v>
      </c>
    </row>
    <row r="290" spans="1:24" x14ac:dyDescent="0.3">
      <c r="A290" s="23">
        <v>16</v>
      </c>
      <c r="B290" s="23">
        <v>0.85026083486688397</v>
      </c>
      <c r="C290" s="23">
        <v>0.92209589244659595</v>
      </c>
      <c r="D290" s="23">
        <v>0.78402202333896698</v>
      </c>
      <c r="E290" s="23">
        <v>0.16</v>
      </c>
      <c r="F290" s="23">
        <v>0.33333333333333331</v>
      </c>
      <c r="G290" s="23">
        <v>0.81356507594892002</v>
      </c>
      <c r="N290" s="9">
        <f t="shared" si="41"/>
        <v>-1.0495401288415935</v>
      </c>
      <c r="O290" s="9">
        <f t="shared" si="42"/>
        <v>1.7895638943381533</v>
      </c>
      <c r="P290" s="9">
        <f t="shared" si="43"/>
        <v>-0.17630673869750946</v>
      </c>
      <c r="Q290" s="9">
        <f t="shared" si="44"/>
        <v>0.25931341848022343</v>
      </c>
      <c r="R290" s="9">
        <f t="shared" si="45"/>
        <v>0.85687380036952066</v>
      </c>
      <c r="S290" s="9">
        <f t="shared" si="46"/>
        <v>0.45603713508896665</v>
      </c>
      <c r="T290" s="9">
        <f t="shared" si="47"/>
        <v>0.81872574544839216</v>
      </c>
      <c r="U290" s="14">
        <f t="shared" si="48"/>
        <v>2.6632509682781997E-5</v>
      </c>
      <c r="W290" s="14">
        <f t="shared" si="49"/>
        <v>0.11237592475391227</v>
      </c>
      <c r="X290" s="16">
        <f t="shared" si="50"/>
        <v>0.63432780634700592</v>
      </c>
    </row>
    <row r="291" spans="1:24" x14ac:dyDescent="0.3">
      <c r="A291" s="23">
        <v>17</v>
      </c>
      <c r="B291" s="23">
        <v>0.758040166935394</v>
      </c>
      <c r="C291" s="23">
        <v>0.87065502177119103</v>
      </c>
      <c r="D291" s="23">
        <v>0.65999147804657299</v>
      </c>
      <c r="E291" s="23">
        <v>0.09</v>
      </c>
      <c r="F291" s="23">
        <v>0.33333333333333331</v>
      </c>
      <c r="G291" s="23">
        <v>0.66600766341948303</v>
      </c>
      <c r="N291" s="9">
        <f t="shared" si="41"/>
        <v>-1.1427702740881736</v>
      </c>
      <c r="O291" s="9">
        <f t="shared" si="42"/>
        <v>1.4388137624381467</v>
      </c>
      <c r="P291" s="9">
        <f t="shared" si="43"/>
        <v>-0.48806468167463257</v>
      </c>
      <c r="Q291" s="9">
        <f t="shared" si="44"/>
        <v>0.24181209848408911</v>
      </c>
      <c r="R291" s="9">
        <f t="shared" si="45"/>
        <v>0.80827088853991702</v>
      </c>
      <c r="S291" s="9">
        <f t="shared" si="46"/>
        <v>0.38034958505338889</v>
      </c>
      <c r="T291" s="9">
        <f t="shared" si="47"/>
        <v>0.67216537293824563</v>
      </c>
      <c r="U291" s="14">
        <f t="shared" si="48"/>
        <v>3.7917386517459528E-5</v>
      </c>
      <c r="W291" s="14">
        <f t="shared" si="49"/>
        <v>0.23307903661499138</v>
      </c>
      <c r="X291" s="16">
        <f t="shared" si="50"/>
        <v>0.92457037012863685</v>
      </c>
    </row>
    <row r="292" spans="1:24" x14ac:dyDescent="0.3">
      <c r="A292" s="23">
        <v>18</v>
      </c>
      <c r="B292" s="23">
        <v>0.62081341767015497</v>
      </c>
      <c r="C292" s="23">
        <v>0.78791713883514103</v>
      </c>
      <c r="D292" s="23">
        <v>0.48914953180113402</v>
      </c>
      <c r="E292" s="23">
        <v>0.04</v>
      </c>
      <c r="F292" s="23">
        <v>0.33333333333333331</v>
      </c>
      <c r="G292" s="23">
        <v>0.55018090105693995</v>
      </c>
      <c r="N292" s="9">
        <f t="shared" si="41"/>
        <v>-1.3459586084757764</v>
      </c>
      <c r="O292" s="9">
        <f t="shared" si="42"/>
        <v>0.99227612246316821</v>
      </c>
      <c r="P292" s="9">
        <f t="shared" si="43"/>
        <v>-0.90898788160481336</v>
      </c>
      <c r="Q292" s="9">
        <f t="shared" si="44"/>
        <v>0.20653187528005626</v>
      </c>
      <c r="R292" s="9">
        <f t="shared" si="45"/>
        <v>0.72953726465799384</v>
      </c>
      <c r="S292" s="9">
        <f t="shared" si="46"/>
        <v>0.2872069926180284</v>
      </c>
      <c r="T292" s="9">
        <f t="shared" si="47"/>
        <v>0.55948213984002571</v>
      </c>
      <c r="U292" s="14">
        <f t="shared" si="48"/>
        <v>8.6513042899978522E-5</v>
      </c>
      <c r="W292" s="14">
        <f t="shared" si="49"/>
        <v>0.35833316592104847</v>
      </c>
      <c r="X292" s="16">
        <f t="shared" si="50"/>
        <v>1.6905782743852713</v>
      </c>
    </row>
    <row r="293" spans="1:24" x14ac:dyDescent="0.3">
      <c r="A293" s="23">
        <v>19</v>
      </c>
      <c r="B293" s="23">
        <v>0.41411550520763202</v>
      </c>
      <c r="C293" s="23">
        <v>0.64351806906071596</v>
      </c>
      <c r="D293" s="23">
        <v>0.26649081027931798</v>
      </c>
      <c r="E293" s="23">
        <v>0.01</v>
      </c>
      <c r="F293" s="23">
        <v>0.33333333333333331</v>
      </c>
      <c r="G293" s="23">
        <v>0.48557550679553602</v>
      </c>
      <c r="N293" s="9">
        <f t="shared" si="41"/>
        <v>-1.7570496747487834</v>
      </c>
      <c r="O293" s="9">
        <f t="shared" si="42"/>
        <v>0.39839463146163778</v>
      </c>
      <c r="P293" s="9">
        <f t="shared" si="43"/>
        <v>-1.3748406676076517</v>
      </c>
      <c r="Q293" s="9">
        <f t="shared" si="44"/>
        <v>0.14716023238843853</v>
      </c>
      <c r="R293" s="9">
        <f t="shared" si="45"/>
        <v>0.59830189203582418</v>
      </c>
      <c r="S293" s="9">
        <f t="shared" si="46"/>
        <v>0.20183888948174611</v>
      </c>
      <c r="T293" s="9">
        <f t="shared" si="47"/>
        <v>0.49331313348535544</v>
      </c>
      <c r="U293" s="14">
        <f t="shared" si="48"/>
        <v>5.9870866791005855E-5</v>
      </c>
      <c r="W293" s="14">
        <f t="shared" si="49"/>
        <v>0.43985381031592552</v>
      </c>
      <c r="X293" s="16">
        <f t="shared" si="50"/>
        <v>1.5934960848586515</v>
      </c>
    </row>
    <row r="294" spans="1:24" x14ac:dyDescent="0.3">
      <c r="A294" s="23">
        <v>20</v>
      </c>
      <c r="B294" s="23">
        <v>0.60462132125511903</v>
      </c>
      <c r="C294" s="23">
        <v>0.77757399728586496</v>
      </c>
      <c r="D294" s="23">
        <v>0.47013781761260398</v>
      </c>
      <c r="E294" s="23">
        <v>0.13</v>
      </c>
      <c r="F294" s="23">
        <v>0.33333333333333331</v>
      </c>
      <c r="G294" s="23">
        <v>0.74952047120190102</v>
      </c>
      <c r="N294" s="9">
        <f t="shared" si="41"/>
        <v>-1.4348270300357966</v>
      </c>
      <c r="O294" s="9">
        <f t="shared" si="42"/>
        <v>1.0424123696359311</v>
      </c>
      <c r="P294" s="9">
        <f t="shared" si="43"/>
        <v>-1.0063570101176604</v>
      </c>
      <c r="Q294" s="9">
        <f t="shared" si="44"/>
        <v>0.19234769104107027</v>
      </c>
      <c r="R294" s="9">
        <f t="shared" si="45"/>
        <v>0.73931520616154023</v>
      </c>
      <c r="S294" s="9">
        <f t="shared" si="46"/>
        <v>0.26769339467769337</v>
      </c>
      <c r="T294" s="9">
        <f t="shared" si="47"/>
        <v>0.72591653857525518</v>
      </c>
      <c r="U294" s="14">
        <f t="shared" si="48"/>
        <v>5.57145635443236E-4</v>
      </c>
      <c r="W294" s="14">
        <f t="shared" si="49"/>
        <v>0.1594163651185265</v>
      </c>
      <c r="X294" s="16">
        <f t="shared" si="50"/>
        <v>3.1492045292366093</v>
      </c>
    </row>
    <row r="295" spans="1:24" x14ac:dyDescent="0.3">
      <c r="A295" s="23">
        <v>21</v>
      </c>
      <c r="B295" s="23">
        <v>0.53604508929966299</v>
      </c>
      <c r="C295" s="23">
        <v>0.73215100170638503</v>
      </c>
      <c r="D295" s="23">
        <v>0.392465949090537</v>
      </c>
      <c r="E295" s="23">
        <v>3.6249999999999998E-2</v>
      </c>
      <c r="F295" s="23">
        <v>0.33333333333333331</v>
      </c>
      <c r="G295" s="23">
        <v>0.54428326035658703</v>
      </c>
      <c r="N295" s="9">
        <f t="shared" si="41"/>
        <v>-1.5082542784464177</v>
      </c>
      <c r="O295" s="9">
        <f t="shared" si="42"/>
        <v>0.75442346798940796</v>
      </c>
      <c r="P295" s="9">
        <f t="shared" si="43"/>
        <v>-1.13560046757473</v>
      </c>
      <c r="Q295" s="9">
        <f t="shared" si="44"/>
        <v>0.18119765310980274</v>
      </c>
      <c r="R295" s="9">
        <f t="shared" si="45"/>
        <v>0.68014178580092965</v>
      </c>
      <c r="S295" s="9">
        <f t="shared" si="46"/>
        <v>0.243129035911088</v>
      </c>
      <c r="T295" s="9">
        <f t="shared" si="47"/>
        <v>0.54763322840070627</v>
      </c>
      <c r="U295" s="14">
        <f t="shared" si="48"/>
        <v>1.1222285896620118E-5</v>
      </c>
      <c r="W295" s="14">
        <f t="shared" si="49"/>
        <v>0.36542871393758364</v>
      </c>
      <c r="X295" s="16">
        <f t="shared" si="50"/>
        <v>0.61548246806718143</v>
      </c>
    </row>
    <row r="296" spans="1:24" x14ac:dyDescent="0.3">
      <c r="A296" s="23">
        <v>22</v>
      </c>
      <c r="B296" s="23">
        <v>0.482056160699321</v>
      </c>
      <c r="C296" s="23">
        <v>0.69430264344831705</v>
      </c>
      <c r="D296" s="23">
        <v>0.33469286666408499</v>
      </c>
      <c r="E296" s="23">
        <v>1.8888888888889E-2</v>
      </c>
      <c r="F296" s="23">
        <v>0.33333333333333331</v>
      </c>
      <c r="G296" s="23">
        <v>0.50257489451886705</v>
      </c>
      <c r="N296" s="9">
        <f t="shared" si="41"/>
        <v>-1.6102311461949534</v>
      </c>
      <c r="O296" s="9">
        <f t="shared" si="42"/>
        <v>0.5898744930021389</v>
      </c>
      <c r="P296" s="9">
        <f t="shared" si="43"/>
        <v>-1.2499410745993673</v>
      </c>
      <c r="Q296" s="9">
        <f t="shared" si="44"/>
        <v>0.16655652443961227</v>
      </c>
      <c r="R296" s="9">
        <f t="shared" si="45"/>
        <v>0.64333634804304718</v>
      </c>
      <c r="S296" s="9">
        <f t="shared" si="46"/>
        <v>0.22271033926090605</v>
      </c>
      <c r="T296" s="9">
        <f t="shared" si="47"/>
        <v>0.51283473147089931</v>
      </c>
      <c r="U296" s="14">
        <f t="shared" si="48"/>
        <v>1.0526425428228647E-4</v>
      </c>
      <c r="W296" s="14">
        <f t="shared" si="49"/>
        <v>0.41759429999467035</v>
      </c>
      <c r="X296" s="16">
        <f t="shared" si="50"/>
        <v>2.0414543312702405</v>
      </c>
    </row>
    <row r="297" spans="1:24" x14ac:dyDescent="0.3">
      <c r="A297" s="23">
        <v>23</v>
      </c>
      <c r="B297" s="23">
        <v>0.44329834371454502</v>
      </c>
      <c r="C297" s="23">
        <v>0.66580653625099295</v>
      </c>
      <c r="D297" s="23">
        <v>0.29515093475438398</v>
      </c>
      <c r="E297" s="23">
        <v>1.2812499999999999E-2</v>
      </c>
      <c r="F297" s="23">
        <v>0.33333333333333331</v>
      </c>
      <c r="G297" s="23">
        <v>0.48946216900698802</v>
      </c>
      <c r="N297" s="9">
        <f t="shared" si="41"/>
        <v>-1.6919006159441412</v>
      </c>
      <c r="O297" s="9">
        <f t="shared" si="42"/>
        <v>0.47941954100225659</v>
      </c>
      <c r="P297" s="9">
        <f t="shared" si="43"/>
        <v>-1.3243914470744267</v>
      </c>
      <c r="Q297" s="9">
        <f t="shared" si="44"/>
        <v>0.15552605413302317</v>
      </c>
      <c r="R297" s="9">
        <f t="shared" si="45"/>
        <v>0.61761079846456624</v>
      </c>
      <c r="S297" s="9">
        <f t="shared" si="46"/>
        <v>0.21008859895381377</v>
      </c>
      <c r="T297" s="9">
        <f t="shared" si="47"/>
        <v>0.49998500308453464</v>
      </c>
      <c r="U297" s="14">
        <f t="shared" si="48"/>
        <v>1.1073003702357636E-4</v>
      </c>
      <c r="W297" s="14">
        <f t="shared" si="49"/>
        <v>0.43471353301187204</v>
      </c>
      <c r="X297" s="16">
        <f t="shared" si="50"/>
        <v>2.1498768942439721</v>
      </c>
    </row>
    <row r="298" spans="1:24" x14ac:dyDescent="0.3">
      <c r="A298" s="23">
        <v>24</v>
      </c>
      <c r="B298" s="23">
        <v>0.75641498946707797</v>
      </c>
      <c r="C298" s="23">
        <v>0.86972121364669397</v>
      </c>
      <c r="D298" s="23">
        <v>0.65787016265985798</v>
      </c>
      <c r="E298" s="23">
        <v>0.24222222222222201</v>
      </c>
      <c r="F298" s="23">
        <v>0.33333333333333331</v>
      </c>
      <c r="G298" s="23">
        <v>0.95611882659739</v>
      </c>
      <c r="N298" s="9">
        <f t="shared" si="41"/>
        <v>-1.2444410208468488</v>
      </c>
      <c r="O298" s="9">
        <f t="shared" si="42"/>
        <v>1.5952110749376522</v>
      </c>
      <c r="P298" s="9">
        <f t="shared" si="43"/>
        <v>-0.57957009315013108</v>
      </c>
      <c r="Q298" s="9">
        <f t="shared" si="44"/>
        <v>0.22366390789965138</v>
      </c>
      <c r="R298" s="9">
        <f t="shared" si="45"/>
        <v>0.83134800217273597</v>
      </c>
      <c r="S298" s="9">
        <f t="shared" si="46"/>
        <v>0.35903152122371473</v>
      </c>
      <c r="T298" s="9">
        <f t="shared" si="47"/>
        <v>0.93758496223871435</v>
      </c>
      <c r="U298" s="14">
        <f t="shared" si="48"/>
        <v>3.435041280657878E-4</v>
      </c>
      <c r="W298" s="14">
        <f t="shared" si="49"/>
        <v>3.7122281670038379E-2</v>
      </c>
      <c r="X298" s="16">
        <f t="shared" si="50"/>
        <v>1.9384477999072014</v>
      </c>
    </row>
    <row r="299" spans="1:24" x14ac:dyDescent="0.3">
      <c r="A299" s="23">
        <v>25</v>
      </c>
      <c r="B299" s="23">
        <v>0.84330333318766404</v>
      </c>
      <c r="C299" s="23">
        <v>0.91831548674062102</v>
      </c>
      <c r="D299" s="23">
        <v>0.77441851088621805</v>
      </c>
      <c r="E299" s="23">
        <v>0.32624999999999998</v>
      </c>
      <c r="F299" s="23">
        <v>0.33333333333333331</v>
      </c>
      <c r="G299" s="23">
        <v>1.0991286096783199</v>
      </c>
      <c r="N299" s="9">
        <f t="shared" si="41"/>
        <v>-1.1677116731818249</v>
      </c>
      <c r="O299" s="9">
        <f t="shared" si="42"/>
        <v>1.9443663593594718</v>
      </c>
      <c r="P299" s="9">
        <f t="shared" si="43"/>
        <v>-0.29764873402868874</v>
      </c>
      <c r="Q299" s="9">
        <f t="shared" si="44"/>
        <v>0.23726885914129486</v>
      </c>
      <c r="R299" s="9">
        <f t="shared" si="45"/>
        <v>0.87483105022697749</v>
      </c>
      <c r="S299" s="9">
        <f t="shared" si="46"/>
        <v>0.42613237005800919</v>
      </c>
      <c r="T299" s="9">
        <f t="shared" si="47"/>
        <v>1.0902248128586502</v>
      </c>
      <c r="U299" s="14">
        <f t="shared" si="48"/>
        <v>7.9277597805959987E-5</v>
      </c>
      <c r="W299" s="14">
        <f t="shared" si="49"/>
        <v>2.4662796210894317E-3</v>
      </c>
      <c r="X299" s="16">
        <f t="shared" si="50"/>
        <v>0.81007779628951193</v>
      </c>
    </row>
    <row r="300" spans="1:24" x14ac:dyDescent="0.3">
      <c r="A300" s="23">
        <v>26</v>
      </c>
      <c r="B300" s="23">
        <v>0.82722243711388799</v>
      </c>
      <c r="C300" s="23">
        <v>0.90951769477778099</v>
      </c>
      <c r="D300" s="23">
        <v>0.75237344407228102</v>
      </c>
      <c r="E300" s="23">
        <v>0.17</v>
      </c>
      <c r="F300" s="23">
        <v>0.33333333333333331</v>
      </c>
      <c r="G300" s="23">
        <v>0.83079469699223296</v>
      </c>
      <c r="N300" s="9">
        <f t="shared" si="41"/>
        <v>-1.0893223357892341</v>
      </c>
      <c r="O300" s="9">
        <f t="shared" si="42"/>
        <v>1.7300761105960001</v>
      </c>
      <c r="P300" s="9">
        <f t="shared" si="43"/>
        <v>-0.2731579241472244</v>
      </c>
      <c r="Q300" s="9">
        <f t="shared" si="44"/>
        <v>0.25174590846017791</v>
      </c>
      <c r="R300" s="9">
        <f t="shared" si="45"/>
        <v>0.84942215537469978</v>
      </c>
      <c r="S300" s="9">
        <f t="shared" si="46"/>
        <v>0.43213199412843489</v>
      </c>
      <c r="T300" s="9">
        <f t="shared" si="47"/>
        <v>0.82954674131858164</v>
      </c>
      <c r="U300" s="14">
        <f t="shared" si="48"/>
        <v>1.5573933633985303E-6</v>
      </c>
      <c r="W300" s="14">
        <f t="shared" si="49"/>
        <v>0.10112117878684448</v>
      </c>
      <c r="X300" s="16">
        <f t="shared" si="50"/>
        <v>0.15021228206792359</v>
      </c>
    </row>
    <row r="301" spans="1:24" x14ac:dyDescent="0.3">
      <c r="A301" s="23">
        <v>27</v>
      </c>
      <c r="B301" s="23">
        <v>0.79294453563825096</v>
      </c>
      <c r="C301" s="23">
        <v>0.89047433182447799</v>
      </c>
      <c r="D301" s="23">
        <v>0.70609675554634299</v>
      </c>
      <c r="E301" s="23">
        <v>0.1153125</v>
      </c>
      <c r="F301" s="23">
        <v>0.33333333333333331</v>
      </c>
      <c r="G301" s="23">
        <v>0.72087646877454303</v>
      </c>
      <c r="N301" s="9">
        <f t="shared" si="41"/>
        <v>-1.1049414606402383</v>
      </c>
      <c r="O301" s="9">
        <f t="shared" si="42"/>
        <v>1.5691098359093496</v>
      </c>
      <c r="P301" s="9">
        <f t="shared" si="43"/>
        <v>-0.37383806456950786</v>
      </c>
      <c r="Q301" s="9">
        <f t="shared" si="44"/>
        <v>0.24881515897611126</v>
      </c>
      <c r="R301" s="9">
        <f t="shared" si="45"/>
        <v>0.82765667130779164</v>
      </c>
      <c r="S301" s="9">
        <f t="shared" si="46"/>
        <v>0.40761393642379423</v>
      </c>
      <c r="T301" s="9">
        <f t="shared" si="47"/>
        <v>0.72554480060261384</v>
      </c>
      <c r="U301" s="14">
        <f t="shared" si="48"/>
        <v>2.1793322056978897E-5</v>
      </c>
      <c r="W301" s="14">
        <f t="shared" si="49"/>
        <v>0.18311021365512478</v>
      </c>
      <c r="X301" s="16">
        <f t="shared" si="50"/>
        <v>0.64759109643386681</v>
      </c>
    </row>
    <row r="302" spans="1:24" x14ac:dyDescent="0.3">
      <c r="A302" s="23">
        <v>28</v>
      </c>
      <c r="B302" s="23">
        <v>0.723369663208</v>
      </c>
      <c r="C302" s="23">
        <v>0.85051141274412101</v>
      </c>
      <c r="D302" s="23">
        <v>0.61523415419127503</v>
      </c>
      <c r="E302" s="23">
        <v>0.1</v>
      </c>
      <c r="F302" s="23">
        <v>0.33333333333333331</v>
      </c>
      <c r="G302" s="23">
        <v>0.686845413544796</v>
      </c>
      <c r="N302" s="9">
        <f t="shared" si="41"/>
        <v>-1.2054285306205719</v>
      </c>
      <c r="O302" s="9">
        <f t="shared" si="42"/>
        <v>1.3480110177038169</v>
      </c>
      <c r="P302" s="9">
        <f t="shared" si="43"/>
        <v>-0.61576109982289517</v>
      </c>
      <c r="Q302" s="9">
        <f t="shared" si="44"/>
        <v>0.23051091910227528</v>
      </c>
      <c r="R302" s="9">
        <f t="shared" si="45"/>
        <v>0.79380426369812995</v>
      </c>
      <c r="S302" s="9">
        <f t="shared" si="46"/>
        <v>0.35074613592172826</v>
      </c>
      <c r="T302" s="9">
        <f t="shared" si="47"/>
        <v>0.68372166497768083</v>
      </c>
      <c r="U302" s="14">
        <f t="shared" si="48"/>
        <v>9.7578051105540765E-6</v>
      </c>
      <c r="W302" s="14">
        <f t="shared" si="49"/>
        <v>0.21339304217499616</v>
      </c>
      <c r="X302" s="16">
        <f t="shared" si="50"/>
        <v>0.45479645135774632</v>
      </c>
    </row>
    <row r="303" spans="1:24" x14ac:dyDescent="0.3">
      <c r="A303" s="23">
        <v>29</v>
      </c>
      <c r="B303" s="23">
        <v>0.90058022766249901</v>
      </c>
      <c r="C303" s="23">
        <v>0.94898905560733404</v>
      </c>
      <c r="D303" s="23">
        <v>0.85464077974807295</v>
      </c>
      <c r="E303" s="23">
        <v>0.4</v>
      </c>
      <c r="F303" s="23">
        <v>0.33333333333333331</v>
      </c>
      <c r="G303" s="23">
        <v>1.2206444113460699</v>
      </c>
      <c r="N303" s="9">
        <f t="shared" si="41"/>
        <v>-1.136233473401083</v>
      </c>
      <c r="O303" s="9">
        <f t="shared" si="42"/>
        <v>2.1990503583786598</v>
      </c>
      <c r="P303" s="9">
        <f t="shared" si="43"/>
        <v>-0.10429973582451157</v>
      </c>
      <c r="Q303" s="9">
        <f t="shared" si="44"/>
        <v>0.24301257082430286</v>
      </c>
      <c r="R303" s="9">
        <f t="shared" si="45"/>
        <v>0.90016420033066602</v>
      </c>
      <c r="S303" s="9">
        <f t="shared" si="46"/>
        <v>0.47394867823045644</v>
      </c>
      <c r="T303" s="9">
        <f t="shared" si="47"/>
        <v>1.217519527362882</v>
      </c>
      <c r="U303" s="14">
        <f t="shared" si="48"/>
        <v>9.7648999083841951E-6</v>
      </c>
      <c r="W303" s="14">
        <f t="shared" si="49"/>
        <v>5.1630189087987569E-3</v>
      </c>
      <c r="X303" s="16">
        <f t="shared" si="50"/>
        <v>0.25600280918354512</v>
      </c>
    </row>
    <row r="304" spans="1:24" x14ac:dyDescent="0.3">
      <c r="A304" s="23">
        <v>30</v>
      </c>
      <c r="B304" s="23">
        <v>0.93966736106488902</v>
      </c>
      <c r="C304" s="23">
        <v>0.96936441087182901</v>
      </c>
      <c r="D304" s="23">
        <v>0.91088009787415303</v>
      </c>
      <c r="E304" s="23">
        <v>0.47222222222222199</v>
      </c>
      <c r="F304" s="23">
        <v>0.33333333333333331</v>
      </c>
      <c r="G304" s="23">
        <v>1.33432974872507</v>
      </c>
      <c r="N304" s="9">
        <f t="shared" si="41"/>
        <v>-1.1321337502417237</v>
      </c>
      <c r="O304" s="9">
        <f t="shared" si="42"/>
        <v>2.3984209583469118</v>
      </c>
      <c r="P304" s="9">
        <f t="shared" si="43"/>
        <v>2.3097102822378979E-2</v>
      </c>
      <c r="Q304" s="9">
        <f t="shared" si="44"/>
        <v>0.24376753984930435</v>
      </c>
      <c r="R304" s="9">
        <f t="shared" si="45"/>
        <v>0.91670681440691404</v>
      </c>
      <c r="S304" s="9">
        <f t="shared" si="46"/>
        <v>0.50577401901608665</v>
      </c>
      <c r="T304" s="9">
        <f t="shared" si="47"/>
        <v>1.3345184362017628</v>
      </c>
      <c r="U304" s="14">
        <f t="shared" si="48"/>
        <v>3.560296386068143E-8</v>
      </c>
      <c r="W304" s="14">
        <f t="shared" si="49"/>
        <v>3.4424901471308181E-2</v>
      </c>
      <c r="X304" s="16">
        <f t="shared" si="50"/>
        <v>1.4140993024628977E-2</v>
      </c>
    </row>
    <row r="305" spans="1:24" x14ac:dyDescent="0.3">
      <c r="A305" s="23">
        <v>31</v>
      </c>
      <c r="B305" s="23">
        <v>0.93311773293603195</v>
      </c>
      <c r="C305" s="23">
        <v>0.96598019282800596</v>
      </c>
      <c r="D305" s="23">
        <v>0.90137324759278004</v>
      </c>
      <c r="E305" s="23">
        <v>0.3203125</v>
      </c>
      <c r="F305" s="23">
        <v>0.33333333333333331</v>
      </c>
      <c r="G305" s="23">
        <v>1.10453835154672</v>
      </c>
      <c r="N305" s="9">
        <f t="shared" si="41"/>
        <v>-1.0416396875242924</v>
      </c>
      <c r="O305" s="9">
        <f t="shared" si="42"/>
        <v>2.2168409793773751</v>
      </c>
      <c r="P305" s="9">
        <f t="shared" si="43"/>
        <v>7.9992353438306352E-2</v>
      </c>
      <c r="Q305" s="9">
        <f t="shared" si="44"/>
        <v>0.26083373903053808</v>
      </c>
      <c r="R305" s="9">
        <f t="shared" si="45"/>
        <v>0.90175167538575718</v>
      </c>
      <c r="S305" s="9">
        <f t="shared" si="46"/>
        <v>0.51998743157023175</v>
      </c>
      <c r="T305" s="9">
        <f t="shared" si="47"/>
        <v>1.1049381414516661</v>
      </c>
      <c r="U305" s="14">
        <f t="shared" si="48"/>
        <v>1.5983196809685749E-7</v>
      </c>
      <c r="W305" s="14">
        <f t="shared" si="49"/>
        <v>1.9582314983640466E-3</v>
      </c>
      <c r="X305" s="16">
        <f t="shared" si="50"/>
        <v>3.6195203578609912E-2</v>
      </c>
    </row>
    <row r="306" spans="1:24" x14ac:dyDescent="0.3">
      <c r="A306" s="23">
        <v>32</v>
      </c>
      <c r="B306" s="23">
        <v>0.67803485561868704</v>
      </c>
      <c r="C306" s="23">
        <v>0.82342871920931104</v>
      </c>
      <c r="D306" s="23">
        <v>0.55831337274136505</v>
      </c>
      <c r="E306" s="23">
        <v>6.0816326530612003E-2</v>
      </c>
      <c r="F306" s="23">
        <v>0.33333333333333331</v>
      </c>
      <c r="G306" s="23">
        <v>0.59942746421311499</v>
      </c>
      <c r="N306" s="9">
        <f t="shared" si="41"/>
        <v>-1.2567631151693539</v>
      </c>
      <c r="O306" s="9">
        <f t="shared" si="42"/>
        <v>1.1759817383612206</v>
      </c>
      <c r="P306" s="9">
        <f t="shared" si="43"/>
        <v>-0.7447046658866403</v>
      </c>
      <c r="Q306" s="9">
        <f t="shared" si="44"/>
        <v>0.22153160714558173</v>
      </c>
      <c r="R306" s="9">
        <f t="shared" si="45"/>
        <v>0.76422454059318867</v>
      </c>
      <c r="S306" s="9">
        <f t="shared" si="46"/>
        <v>0.32197622072027987</v>
      </c>
      <c r="T306" s="9">
        <f t="shared" si="47"/>
        <v>0.60474071477245472</v>
      </c>
      <c r="U306" s="14">
        <f t="shared" si="48"/>
        <v>2.8230631506323982E-5</v>
      </c>
      <c r="W306" s="14">
        <f t="shared" si="49"/>
        <v>0.3017994825940995</v>
      </c>
      <c r="X306" s="16">
        <f t="shared" si="50"/>
        <v>0.88638757423545544</v>
      </c>
    </row>
    <row r="307" spans="1:24" x14ac:dyDescent="0.3">
      <c r="A307" s="23">
        <v>33</v>
      </c>
      <c r="B307" s="23">
        <v>0.89158042542455795</v>
      </c>
      <c r="C307" s="23">
        <v>0.94423536548074605</v>
      </c>
      <c r="D307" s="23">
        <v>0.84186176885623698</v>
      </c>
      <c r="E307" s="23">
        <v>0.24326530612244901</v>
      </c>
      <c r="F307" s="23">
        <v>0.33333333333333331</v>
      </c>
      <c r="G307" s="23">
        <v>0.969441207757745</v>
      </c>
      <c r="N307" s="9">
        <f t="shared" si="41"/>
        <v>-1.0463322986856995</v>
      </c>
      <c r="O307" s="9">
        <f t="shared" si="42"/>
        <v>2.0050699105390848</v>
      </c>
      <c r="P307" s="9">
        <f t="shared" si="43"/>
        <v>-5.3909823970633375E-2</v>
      </c>
      <c r="Q307" s="9">
        <f t="shared" si="44"/>
        <v>0.2599300218597746</v>
      </c>
      <c r="R307" s="9">
        <f t="shared" si="45"/>
        <v>0.88132835922968555</v>
      </c>
      <c r="S307" s="9">
        <f t="shared" si="46"/>
        <v>0.48652580715183524</v>
      </c>
      <c r="T307" s="9">
        <f t="shared" si="47"/>
        <v>0.96981158680840374</v>
      </c>
      <c r="U307" s="14">
        <f t="shared" si="48"/>
        <v>1.3718064116686299E-7</v>
      </c>
      <c r="W307" s="14">
        <f t="shared" si="49"/>
        <v>3.2166082931732953E-2</v>
      </c>
      <c r="X307" s="16">
        <f t="shared" si="50"/>
        <v>3.8205416449687966E-2</v>
      </c>
    </row>
    <row r="308" spans="1:24" x14ac:dyDescent="0.3">
      <c r="A308" s="23">
        <v>34</v>
      </c>
      <c r="B308" s="23">
        <v>0.96611717808573405</v>
      </c>
      <c r="C308" s="23">
        <v>0.98291259941346498</v>
      </c>
      <c r="D308" s="23">
        <v>0.94960874685024999</v>
      </c>
      <c r="E308" s="23">
        <v>0.54734693877550999</v>
      </c>
      <c r="F308" s="23">
        <v>0.33333333333333331</v>
      </c>
      <c r="G308" s="23">
        <v>1.44689889511073</v>
      </c>
      <c r="N308" s="9">
        <f t="shared" si="41"/>
        <v>-1.1478525654541927</v>
      </c>
      <c r="O308" s="9">
        <f t="shared" si="42"/>
        <v>2.5622441985781101</v>
      </c>
      <c r="P308" s="9">
        <f t="shared" si="43"/>
        <v>9.800730459646334E-2</v>
      </c>
      <c r="Q308" s="9">
        <f t="shared" si="44"/>
        <v>0.24088153929903336</v>
      </c>
      <c r="R308" s="9">
        <f t="shared" si="45"/>
        <v>0.92839179662049365</v>
      </c>
      <c r="S308" s="9">
        <f t="shared" si="46"/>
        <v>0.52448223241794789</v>
      </c>
      <c r="T308" s="9">
        <f t="shared" si="47"/>
        <v>1.4484619948654225</v>
      </c>
      <c r="U308" s="14">
        <f t="shared" si="48"/>
        <v>2.4432808431197142E-6</v>
      </c>
      <c r="W308" s="14">
        <f t="shared" si="49"/>
        <v>8.8868757676779861E-2</v>
      </c>
      <c r="X308" s="16">
        <f t="shared" si="50"/>
        <v>0.10803102828915109</v>
      </c>
    </row>
    <row r="309" spans="1:24" x14ac:dyDescent="0.3">
      <c r="A309" s="23">
        <v>35</v>
      </c>
      <c r="B309" s="23">
        <v>0.98325960470347495</v>
      </c>
      <c r="C309" s="23">
        <v>0.99159447593432803</v>
      </c>
      <c r="D309" s="23">
        <v>0.97499479243333698</v>
      </c>
      <c r="E309" s="23">
        <v>0.6278125</v>
      </c>
      <c r="F309" s="23">
        <v>0.33333333333333331</v>
      </c>
      <c r="G309" s="23">
        <v>1.56054749502473</v>
      </c>
      <c r="N309" s="9">
        <f t="shared" si="41"/>
        <v>-1.1793200436793581</v>
      </c>
      <c r="O309" s="9">
        <f t="shared" si="42"/>
        <v>2.7025501155756437</v>
      </c>
      <c r="P309" s="9">
        <f t="shared" si="43"/>
        <v>0.13014699400871599</v>
      </c>
      <c r="Q309" s="9">
        <f t="shared" si="44"/>
        <v>0.23517447621662735</v>
      </c>
      <c r="R309" s="9">
        <f t="shared" si="45"/>
        <v>0.93717695283371916</v>
      </c>
      <c r="S309" s="9">
        <f t="shared" si="46"/>
        <v>0.53249089988871534</v>
      </c>
      <c r="T309" s="9">
        <f t="shared" si="47"/>
        <v>1.5629496525018607</v>
      </c>
      <c r="U309" s="14">
        <f t="shared" si="48"/>
        <v>5.7703605449348532E-6</v>
      </c>
      <c r="W309" s="14">
        <f t="shared" si="49"/>
        <v>0.1695440196963014</v>
      </c>
      <c r="X309" s="16">
        <f t="shared" si="50"/>
        <v>0.15393043049244823</v>
      </c>
    </row>
    <row r="310" spans="1:24" x14ac:dyDescent="0.3">
      <c r="A310" s="23">
        <v>36</v>
      </c>
      <c r="B310" s="23">
        <v>0.63822315837842403</v>
      </c>
      <c r="C310" s="23">
        <v>0.79888870212215701</v>
      </c>
      <c r="D310" s="23">
        <v>0.50986927066124299</v>
      </c>
      <c r="E310" s="23">
        <v>4.4691358024691E-2</v>
      </c>
      <c r="F310" s="23">
        <v>0.33333333333333331</v>
      </c>
      <c r="G310" s="23">
        <v>0.56139916304262505</v>
      </c>
      <c r="N310" s="9">
        <f t="shared" si="41"/>
        <v>-1.3170543023616414</v>
      </c>
      <c r="O310" s="9">
        <f t="shared" si="42"/>
        <v>1.0460807383859361</v>
      </c>
      <c r="P310" s="9">
        <f t="shared" si="43"/>
        <v>-0.85985347889701225</v>
      </c>
      <c r="Q310" s="9">
        <f t="shared" si="44"/>
        <v>0.21130879827954119</v>
      </c>
      <c r="R310" s="9">
        <f t="shared" si="45"/>
        <v>0.74002158346716984</v>
      </c>
      <c r="S310" s="9">
        <f t="shared" si="46"/>
        <v>0.29736995902183788</v>
      </c>
      <c r="T310" s="9">
        <f t="shared" si="47"/>
        <v>0.56992024219121584</v>
      </c>
      <c r="U310" s="14">
        <f t="shared" si="48"/>
        <v>7.2608789856548798E-5</v>
      </c>
      <c r="W310" s="14">
        <f t="shared" si="49"/>
        <v>0.34502830206712481</v>
      </c>
      <c r="X310" s="16">
        <f t="shared" si="50"/>
        <v>1.5178289725992731</v>
      </c>
    </row>
    <row r="311" spans="1:24" x14ac:dyDescent="0.3">
      <c r="A311" s="23">
        <v>37</v>
      </c>
      <c r="B311" s="23">
        <v>0.86512518623928802</v>
      </c>
      <c r="C311" s="23">
        <v>0.93012105999127204</v>
      </c>
      <c r="D311" s="23">
        <v>0.80467115525003297</v>
      </c>
      <c r="E311" s="23">
        <v>0.178765432098765</v>
      </c>
      <c r="F311" s="23">
        <v>0.33333333333333331</v>
      </c>
      <c r="G311" s="23">
        <v>0.85052114441349402</v>
      </c>
      <c r="N311" s="9">
        <f t="shared" si="41"/>
        <v>-1.0407707857533401</v>
      </c>
      <c r="O311" s="9">
        <f t="shared" si="42"/>
        <v>1.8549966458870386</v>
      </c>
      <c r="P311" s="9">
        <f t="shared" si="43"/>
        <v>-0.12680581117118905</v>
      </c>
      <c r="Q311" s="9">
        <f t="shared" si="44"/>
        <v>0.26100129766734254</v>
      </c>
      <c r="R311" s="9">
        <f t="shared" si="45"/>
        <v>0.86471269978249732</v>
      </c>
      <c r="S311" s="9">
        <f t="shared" si="46"/>
        <v>0.4683409582033623</v>
      </c>
      <c r="T311" s="9">
        <f t="shared" si="47"/>
        <v>0.85497945138387499</v>
      </c>
      <c r="U311" s="14">
        <f t="shared" si="48"/>
        <v>1.98765010421475E-5</v>
      </c>
      <c r="W311" s="14">
        <f t="shared" si="49"/>
        <v>8.8964465963909306E-2</v>
      </c>
      <c r="X311" s="16">
        <f t="shared" si="50"/>
        <v>0.5241853185737485</v>
      </c>
    </row>
    <row r="312" spans="1:24" x14ac:dyDescent="0.3">
      <c r="A312" s="23">
        <v>38</v>
      </c>
      <c r="B312" s="23">
        <v>0.95986863223136598</v>
      </c>
      <c r="C312" s="23">
        <v>0.97972885648600005</v>
      </c>
      <c r="D312" s="23">
        <v>0.94041099743281698</v>
      </c>
      <c r="E312" s="23">
        <v>0.40222222222222198</v>
      </c>
      <c r="F312" s="23">
        <v>0.33333333333333331</v>
      </c>
      <c r="G312" s="23">
        <v>1.2380378687484901</v>
      </c>
      <c r="N312" s="9">
        <f t="shared" si="41"/>
        <v>-1.0611225417252681</v>
      </c>
      <c r="O312" s="9">
        <f t="shared" si="42"/>
        <v>2.3885870492359</v>
      </c>
      <c r="P312" s="9">
        <f t="shared" si="43"/>
        <v>0.15173857962044501</v>
      </c>
      <c r="Q312" s="9">
        <f t="shared" si="44"/>
        <v>0.25709499396330049</v>
      </c>
      <c r="R312" s="9">
        <f t="shared" si="45"/>
        <v>0.91595285851261821</v>
      </c>
      <c r="S312" s="9">
        <f t="shared" si="46"/>
        <v>0.53786202627748747</v>
      </c>
      <c r="T312" s="9">
        <f t="shared" si="47"/>
        <v>1.2379244504255285</v>
      </c>
      <c r="U312" s="14">
        <f t="shared" si="48"/>
        <v>1.2863715983429441E-8</v>
      </c>
      <c r="W312" s="14">
        <f t="shared" si="49"/>
        <v>7.9651354724866504E-3</v>
      </c>
      <c r="X312" s="16">
        <f t="shared" si="50"/>
        <v>9.1611351982541691E-3</v>
      </c>
    </row>
    <row r="313" spans="1:24" x14ac:dyDescent="0.3">
      <c r="A313" s="23">
        <v>39</v>
      </c>
      <c r="B313" s="23">
        <v>0.993341005660478</v>
      </c>
      <c r="C313" s="23">
        <v>0.99666494152271501</v>
      </c>
      <c r="D313" s="23">
        <v>0.99002815531871602</v>
      </c>
      <c r="E313" s="23">
        <v>0.71506172839506199</v>
      </c>
      <c r="F313" s="23">
        <v>0.33333333333333331</v>
      </c>
      <c r="G313" s="23">
        <v>1.6770367293923301</v>
      </c>
      <c r="N313" s="9">
        <f t="shared" si="41"/>
        <v>-1.2240330553768415</v>
      </c>
      <c r="O313" s="9">
        <f t="shared" si="42"/>
        <v>2.8275195237416924</v>
      </c>
      <c r="P313" s="9">
        <f t="shared" si="43"/>
        <v>0.12711398260092943</v>
      </c>
      <c r="Q313" s="9">
        <f t="shared" si="44"/>
        <v>0.22722748661041026</v>
      </c>
      <c r="R313" s="9">
        <f t="shared" si="45"/>
        <v>0.94414493749394679</v>
      </c>
      <c r="S313" s="9">
        <f t="shared" si="46"/>
        <v>0.53173577502616376</v>
      </c>
      <c r="T313" s="9">
        <f t="shared" si="47"/>
        <v>1.679559101492778</v>
      </c>
      <c r="U313" s="14">
        <f t="shared" si="48"/>
        <v>6.3623610131180656E-6</v>
      </c>
      <c r="W313" s="14">
        <f t="shared" si="49"/>
        <v>0.27904433127224432</v>
      </c>
      <c r="X313" s="16">
        <f t="shared" si="50"/>
        <v>0.15040649117815671</v>
      </c>
    </row>
    <row r="314" spans="1:24" x14ac:dyDescent="0.3">
      <c r="A314" s="23">
        <v>1</v>
      </c>
      <c r="B314" s="23">
        <v>1</v>
      </c>
      <c r="C314" s="23">
        <v>1</v>
      </c>
      <c r="D314" s="23">
        <v>1</v>
      </c>
      <c r="E314" s="23">
        <v>1</v>
      </c>
      <c r="F314" s="23">
        <v>0.5</v>
      </c>
      <c r="G314" s="23">
        <v>2.0160825149772799</v>
      </c>
      <c r="N314" s="9">
        <f t="shared" si="41"/>
        <v>-1.460481222851677</v>
      </c>
      <c r="O314" s="9">
        <f t="shared" si="42"/>
        <v>3.1112836955084617</v>
      </c>
      <c r="P314" s="9">
        <f t="shared" si="43"/>
        <v>-0.24475727329576502</v>
      </c>
      <c r="Q314" s="9">
        <f t="shared" si="44"/>
        <v>0.18839373446732227</v>
      </c>
      <c r="R314" s="9">
        <f t="shared" si="45"/>
        <v>0.95735579430016582</v>
      </c>
      <c r="S314" s="9">
        <f t="shared" si="46"/>
        <v>0.4391143306639666</v>
      </c>
      <c r="T314" s="9">
        <f t="shared" si="47"/>
        <v>2.0108761491961014</v>
      </c>
      <c r="U314" s="14">
        <f t="shared" si="48"/>
        <v>2.7106244647426427E-5</v>
      </c>
      <c r="W314" s="14">
        <f t="shared" si="49"/>
        <v>0.75219585365018482</v>
      </c>
      <c r="X314" s="16">
        <f t="shared" si="50"/>
        <v>0.25824170104650573</v>
      </c>
    </row>
    <row r="315" spans="1:24" x14ac:dyDescent="0.3">
      <c r="A315" s="23">
        <v>2</v>
      </c>
      <c r="B315" s="23">
        <v>0.99805795702633604</v>
      </c>
      <c r="C315" s="23">
        <v>0.99902850661346798</v>
      </c>
      <c r="D315" s="23">
        <v>0.99708835032170995</v>
      </c>
      <c r="E315" s="23">
        <v>0.90500000000000003</v>
      </c>
      <c r="F315" s="23">
        <v>0.5</v>
      </c>
      <c r="G315" s="23">
        <v>1.90878872907041</v>
      </c>
      <c r="N315" s="9">
        <f t="shared" si="41"/>
        <v>-1.4009361182934448</v>
      </c>
      <c r="O315" s="9">
        <f t="shared" si="42"/>
        <v>3.0043883450988194</v>
      </c>
      <c r="P315" s="9">
        <f t="shared" si="43"/>
        <v>-0.20025273669644716</v>
      </c>
      <c r="Q315" s="9">
        <f t="shared" si="44"/>
        <v>0.19766760562612917</v>
      </c>
      <c r="R315" s="9">
        <f t="shared" si="45"/>
        <v>0.95277198432304699</v>
      </c>
      <c r="S315" s="9">
        <f t="shared" si="46"/>
        <v>0.45010344695483395</v>
      </c>
      <c r="T315" s="9">
        <f t="shared" si="47"/>
        <v>1.9070878175775632</v>
      </c>
      <c r="U315" s="14">
        <f t="shared" si="48"/>
        <v>2.8930999064982978E-6</v>
      </c>
      <c r="W315" s="14">
        <f t="shared" si="49"/>
        <v>0.57759767133021034</v>
      </c>
      <c r="X315" s="16">
        <f t="shared" si="50"/>
        <v>8.91094685829973E-2</v>
      </c>
    </row>
    <row r="316" spans="1:24" x14ac:dyDescent="0.3">
      <c r="A316" s="23">
        <v>3</v>
      </c>
      <c r="B316" s="23">
        <v>0.99152490614171696</v>
      </c>
      <c r="C316" s="23">
        <v>0.99575343641973801</v>
      </c>
      <c r="D316" s="23">
        <v>0.98731433258637302</v>
      </c>
      <c r="E316" s="23">
        <v>0.82</v>
      </c>
      <c r="F316" s="23">
        <v>0.5</v>
      </c>
      <c r="G316" s="23">
        <v>1.80640737444644</v>
      </c>
      <c r="N316" s="9">
        <f t="shared" si="41"/>
        <v>-1.3533684561201362</v>
      </c>
      <c r="O316" s="9">
        <f t="shared" si="42"/>
        <v>2.8932143217000936</v>
      </c>
      <c r="P316" s="9">
        <f t="shared" si="43"/>
        <v>-0.18243618741984347</v>
      </c>
      <c r="Q316" s="9">
        <f t="shared" si="44"/>
        <v>0.20532021604311698</v>
      </c>
      <c r="R316" s="9">
        <f t="shared" si="45"/>
        <v>0.94750997542969551</v>
      </c>
      <c r="S316" s="9">
        <f t="shared" si="46"/>
        <v>0.45451703387723502</v>
      </c>
      <c r="T316" s="9">
        <f t="shared" si="47"/>
        <v>1.8072517028462758</v>
      </c>
      <c r="U316" s="14">
        <f t="shared" si="48"/>
        <v>7.1289044676934399E-7</v>
      </c>
      <c r="W316" s="14">
        <f t="shared" si="49"/>
        <v>0.4324602677772148</v>
      </c>
      <c r="X316" s="16">
        <f t="shared" si="50"/>
        <v>4.6740752489154033E-2</v>
      </c>
    </row>
    <row r="317" spans="1:24" x14ac:dyDescent="0.3">
      <c r="A317" s="23">
        <v>4</v>
      </c>
      <c r="B317" s="23">
        <v>0.97911342554320102</v>
      </c>
      <c r="C317" s="23">
        <v>0.98950160461881098</v>
      </c>
      <c r="D317" s="23">
        <v>0.96883430567881701</v>
      </c>
      <c r="E317" s="23">
        <v>0.745</v>
      </c>
      <c r="F317" s="23">
        <v>0.5</v>
      </c>
      <c r="G317" s="23">
        <v>1.7093528496452499</v>
      </c>
      <c r="N317" s="9">
        <f t="shared" si="41"/>
        <v>-1.3194795304743463</v>
      </c>
      <c r="O317" s="9">
        <f t="shared" si="42"/>
        <v>2.7737318895224137</v>
      </c>
      <c r="P317" s="9">
        <f t="shared" si="43"/>
        <v>-0.19679921520663501</v>
      </c>
      <c r="Q317" s="9">
        <f t="shared" si="44"/>
        <v>0.21090489907677573</v>
      </c>
      <c r="R317" s="9">
        <f t="shared" si="45"/>
        <v>0.94123972821622748</v>
      </c>
      <c r="S317" s="9">
        <f t="shared" si="46"/>
        <v>0.45095837568282732</v>
      </c>
      <c r="T317" s="9">
        <f t="shared" si="47"/>
        <v>1.7125126410059091</v>
      </c>
      <c r="U317" s="14">
        <f t="shared" si="48"/>
        <v>9.9842814428961182E-6</v>
      </c>
      <c r="W317" s="14">
        <f t="shared" si="49"/>
        <v>0.31423041568602178</v>
      </c>
      <c r="X317" s="16">
        <f t="shared" si="50"/>
        <v>0.18485307824624406</v>
      </c>
    </row>
    <row r="318" spans="1:24" x14ac:dyDescent="0.3">
      <c r="A318" s="23">
        <v>5</v>
      </c>
      <c r="B318" s="23">
        <v>0.95913394700955001</v>
      </c>
      <c r="C318" s="23">
        <v>0.97935384157593897</v>
      </c>
      <c r="D318" s="23">
        <v>0.93933151558969596</v>
      </c>
      <c r="E318" s="23">
        <v>0.68</v>
      </c>
      <c r="F318" s="23">
        <v>0.5</v>
      </c>
      <c r="G318" s="23">
        <v>1.61968663756842</v>
      </c>
      <c r="N318" s="9">
        <f t="shared" si="41"/>
        <v>-1.3017163451867664</v>
      </c>
      <c r="O318" s="9">
        <f t="shared" si="42"/>
        <v>2.6408261879985249</v>
      </c>
      <c r="P318" s="9">
        <f t="shared" si="43"/>
        <v>-0.25001920365054542</v>
      </c>
      <c r="Q318" s="9">
        <f t="shared" si="44"/>
        <v>0.21387630058575011</v>
      </c>
      <c r="R318" s="9">
        <f t="shared" si="45"/>
        <v>0.93344331130536273</v>
      </c>
      <c r="S318" s="9">
        <f t="shared" si="46"/>
        <v>0.43781877244693357</v>
      </c>
      <c r="T318" s="9">
        <f t="shared" si="47"/>
        <v>1.6239226536650748</v>
      </c>
      <c r="U318" s="14">
        <f t="shared" si="48"/>
        <v>1.7943832371118606E-5</v>
      </c>
      <c r="W318" s="14">
        <f t="shared" si="49"/>
        <v>0.22174339737904367</v>
      </c>
      <c r="X318" s="16">
        <f t="shared" si="50"/>
        <v>0.26153306438424351</v>
      </c>
    </row>
    <row r="319" spans="1:24" x14ac:dyDescent="0.3">
      <c r="A319" s="23">
        <v>6</v>
      </c>
      <c r="B319" s="23">
        <v>0.92929286340991601</v>
      </c>
      <c r="C319" s="23">
        <v>0.96399837313655001</v>
      </c>
      <c r="D319" s="23">
        <v>0.89583680849456504</v>
      </c>
      <c r="E319" s="23">
        <v>0.625</v>
      </c>
      <c r="F319" s="23">
        <v>0.5</v>
      </c>
      <c r="G319" s="23">
        <v>1.5379727634673399</v>
      </c>
      <c r="N319" s="9">
        <f t="shared" si="41"/>
        <v>-1.3037686192668148</v>
      </c>
      <c r="O319" s="9">
        <f t="shared" si="42"/>
        <v>2.4878404070105891</v>
      </c>
      <c r="P319" s="9">
        <f t="shared" si="43"/>
        <v>-0.35024895781741716</v>
      </c>
      <c r="Q319" s="9">
        <f t="shared" si="44"/>
        <v>0.2135314477387272</v>
      </c>
      <c r="R319" s="9">
        <f t="shared" si="45"/>
        <v>0.92328497881019833</v>
      </c>
      <c r="S319" s="9">
        <f t="shared" si="46"/>
        <v>0.41332205076262069</v>
      </c>
      <c r="T319" s="9">
        <f t="shared" si="47"/>
        <v>1.5425902691469267</v>
      </c>
      <c r="U319" s="14">
        <f t="shared" si="48"/>
        <v>2.1321358701015818E-5</v>
      </c>
      <c r="W319" s="14">
        <f t="shared" si="49"/>
        <v>0.15146302015547972</v>
      </c>
      <c r="X319" s="16">
        <f t="shared" si="50"/>
        <v>0.30023325440280457</v>
      </c>
    </row>
    <row r="320" spans="1:24" x14ac:dyDescent="0.3">
      <c r="A320" s="23">
        <v>7</v>
      </c>
      <c r="B320" s="23">
        <v>0.88629579591014296</v>
      </c>
      <c r="C320" s="23">
        <v>0.941432841954296</v>
      </c>
      <c r="D320" s="23">
        <v>0.83438796995583098</v>
      </c>
      <c r="E320" s="23">
        <v>0.57999999999999996</v>
      </c>
      <c r="F320" s="23">
        <v>0.5</v>
      </c>
      <c r="G320" s="23">
        <v>1.4664711508472199</v>
      </c>
      <c r="N320" s="9">
        <f t="shared" si="41"/>
        <v>-1.3315721745515845</v>
      </c>
      <c r="O320" s="9">
        <f t="shared" si="42"/>
        <v>2.3056768414194995</v>
      </c>
      <c r="P320" s="9">
        <f t="shared" si="43"/>
        <v>-0.50761452672711338</v>
      </c>
      <c r="Q320" s="9">
        <f t="shared" si="44"/>
        <v>0.20889942801864508</v>
      </c>
      <c r="R320" s="9">
        <f t="shared" si="45"/>
        <v>0.90934610251620618</v>
      </c>
      <c r="S320" s="9">
        <f t="shared" si="46"/>
        <v>0.37575290242689069</v>
      </c>
      <c r="T320" s="9">
        <f t="shared" si="47"/>
        <v>1.4701035772418809</v>
      </c>
      <c r="U320" s="14">
        <f t="shared" si="48"/>
        <v>1.3194521512629857E-5</v>
      </c>
      <c r="W320" s="14">
        <f t="shared" si="49"/>
        <v>0.10092114771595245</v>
      </c>
      <c r="X320" s="16">
        <f t="shared" si="50"/>
        <v>0.24769845574953464</v>
      </c>
    </row>
    <row r="321" spans="1:24" x14ac:dyDescent="0.3">
      <c r="A321" s="23">
        <v>8</v>
      </c>
      <c r="B321" s="23">
        <v>0.82493648944805298</v>
      </c>
      <c r="C321" s="23">
        <v>0.90826014414816902</v>
      </c>
      <c r="D321" s="23">
        <v>0.74925693481917399</v>
      </c>
      <c r="E321" s="23">
        <v>0.54500000000000004</v>
      </c>
      <c r="F321" s="23">
        <v>0.5</v>
      </c>
      <c r="G321" s="23">
        <v>1.4069445884112</v>
      </c>
      <c r="N321" s="9">
        <f t="shared" si="41"/>
        <v>-1.3956400924801733</v>
      </c>
      <c r="O321" s="9">
        <f t="shared" si="42"/>
        <v>2.0806890278965495</v>
      </c>
      <c r="P321" s="9">
        <f t="shared" si="43"/>
        <v>-0.73527719262317059</v>
      </c>
      <c r="Q321" s="9">
        <f t="shared" si="44"/>
        <v>0.19850887453299376</v>
      </c>
      <c r="R321" s="9">
        <f t="shared" si="45"/>
        <v>0.88901203764455883</v>
      </c>
      <c r="S321" s="9">
        <f t="shared" si="46"/>
        <v>0.3240377537924698</v>
      </c>
      <c r="T321" s="9">
        <f t="shared" si="47"/>
        <v>1.4093470052161856</v>
      </c>
      <c r="U321" s="14">
        <f t="shared" si="48"/>
        <v>5.7716065048774683E-6</v>
      </c>
      <c r="W321" s="14">
        <f t="shared" si="49"/>
        <v>6.6643656713859634E-2</v>
      </c>
      <c r="X321" s="16">
        <f t="shared" si="50"/>
        <v>0.17075418781763071</v>
      </c>
    </row>
    <row r="322" spans="1:24" x14ac:dyDescent="0.3">
      <c r="A322" s="23">
        <v>9</v>
      </c>
      <c r="B322" s="23">
        <v>0.73549094564436901</v>
      </c>
      <c r="C322" s="23">
        <v>0.85760768749141303</v>
      </c>
      <c r="D322" s="23">
        <v>0.63076268906494104</v>
      </c>
      <c r="E322" s="23">
        <v>0.52</v>
      </c>
      <c r="F322" s="23">
        <v>0.5</v>
      </c>
      <c r="G322" s="23">
        <v>1.36183642534436</v>
      </c>
      <c r="N322" s="9">
        <f t="shared" si="41"/>
        <v>-1.5178031206978946</v>
      </c>
      <c r="O322" s="9">
        <f t="shared" si="42"/>
        <v>1.788480766258979</v>
      </c>
      <c r="P322" s="9">
        <f t="shared" si="43"/>
        <v>-1.052237544887298</v>
      </c>
      <c r="Q322" s="9">
        <f t="shared" si="44"/>
        <v>0.17978524888514388</v>
      </c>
      <c r="R322" s="9">
        <f t="shared" si="45"/>
        <v>0.85674091300732669</v>
      </c>
      <c r="S322" s="9">
        <f t="shared" si="46"/>
        <v>0.25879566232038304</v>
      </c>
      <c r="T322" s="9">
        <f t="shared" si="47"/>
        <v>1.3652436578070817</v>
      </c>
      <c r="U322" s="14">
        <f t="shared" si="48"/>
        <v>1.1609233055024422E-5</v>
      </c>
      <c r="W322" s="14">
        <f t="shared" si="49"/>
        <v>4.53886681028342E-2</v>
      </c>
      <c r="X322" s="16">
        <f t="shared" si="50"/>
        <v>0.25019395863641319</v>
      </c>
    </row>
    <row r="323" spans="1:24" x14ac:dyDescent="0.3">
      <c r="A323" s="23">
        <v>10</v>
      </c>
      <c r="B323" s="23">
        <v>0.592782777626775</v>
      </c>
      <c r="C323" s="23">
        <v>0.769923877813109</v>
      </c>
      <c r="D323" s="23">
        <v>0.45639761485123198</v>
      </c>
      <c r="E323" s="23">
        <v>0.505</v>
      </c>
      <c r="F323" s="23">
        <v>0.5</v>
      </c>
      <c r="G323" s="23">
        <v>1.3401260973860101</v>
      </c>
      <c r="N323" s="9">
        <f t="shared" si="41"/>
        <v>-1.7602812628566813</v>
      </c>
      <c r="O323" s="9">
        <f t="shared" si="42"/>
        <v>1.3670778939647887</v>
      </c>
      <c r="P323" s="9">
        <f t="shared" si="43"/>
        <v>-1.4928245489717162</v>
      </c>
      <c r="Q323" s="9">
        <f t="shared" si="44"/>
        <v>0.14675511711486153</v>
      </c>
      <c r="R323" s="9">
        <f t="shared" si="45"/>
        <v>0.79690763310507051</v>
      </c>
      <c r="S323" s="9">
        <f t="shared" si="46"/>
        <v>0.18349815651817938</v>
      </c>
      <c r="T323" s="9">
        <f t="shared" si="47"/>
        <v>1.3404166229464427</v>
      </c>
      <c r="U323" s="14">
        <f t="shared" si="48"/>
        <v>8.4405101264694133E-8</v>
      </c>
      <c r="W323" s="14">
        <f t="shared" si="49"/>
        <v>3.660940225049944E-2</v>
      </c>
      <c r="X323" s="16">
        <f t="shared" si="50"/>
        <v>2.1678971926546078E-2</v>
      </c>
    </row>
    <row r="324" spans="1:24" x14ac:dyDescent="0.3">
      <c r="A324" s="23">
        <v>11</v>
      </c>
      <c r="B324" s="23">
        <v>0.99798365800029598</v>
      </c>
      <c r="C324" s="23">
        <v>0.99899132028276205</v>
      </c>
      <c r="D324" s="23">
        <v>0.99697701212633705</v>
      </c>
      <c r="E324" s="23">
        <v>0.81</v>
      </c>
      <c r="F324" s="23">
        <v>0.5</v>
      </c>
      <c r="G324" s="23">
        <v>1.7989436128559</v>
      </c>
      <c r="N324" s="9">
        <f t="shared" si="41"/>
        <v>-1.3391842042180926</v>
      </c>
      <c r="O324" s="9">
        <f t="shared" si="42"/>
        <v>2.9035561560629271</v>
      </c>
      <c r="P324" s="9">
        <f t="shared" si="43"/>
        <v>-0.14713644224663824</v>
      </c>
      <c r="Q324" s="9">
        <f t="shared" si="44"/>
        <v>0.20764424788926669</v>
      </c>
      <c r="R324" s="9">
        <f t="shared" si="45"/>
        <v>0.94802195069718864</v>
      </c>
      <c r="S324" s="9">
        <f t="shared" si="46"/>
        <v>0.46328210809176679</v>
      </c>
      <c r="T324" s="9">
        <f t="shared" si="47"/>
        <v>1.7984719708980816</v>
      </c>
      <c r="U324" s="14">
        <f t="shared" si="48"/>
        <v>2.2244613637472367E-7</v>
      </c>
      <c r="W324" s="14">
        <f t="shared" si="49"/>
        <v>0.42269938081041525</v>
      </c>
      <c r="X324" s="16">
        <f t="shared" si="50"/>
        <v>2.6217717689861076E-2</v>
      </c>
    </row>
    <row r="325" spans="1:24" x14ac:dyDescent="0.3">
      <c r="A325" s="23">
        <v>12</v>
      </c>
      <c r="B325" s="23">
        <v>0.99082969587065495</v>
      </c>
      <c r="C325" s="23">
        <v>0.99540428764932198</v>
      </c>
      <c r="D325" s="23">
        <v>0.986276127599925</v>
      </c>
      <c r="E325" s="23">
        <v>0.64</v>
      </c>
      <c r="F325" s="23">
        <v>0.5</v>
      </c>
      <c r="G325" s="23">
        <v>1.58613196694898</v>
      </c>
      <c r="N325" s="9">
        <f t="shared" si="41"/>
        <v>-1.2370282612607775</v>
      </c>
      <c r="O325" s="9">
        <f t="shared" si="42"/>
        <v>2.7003709908631741</v>
      </c>
      <c r="P325" s="9">
        <f t="shared" si="43"/>
        <v>-8.4330569858649729E-2</v>
      </c>
      <c r="Q325" s="9">
        <f t="shared" si="44"/>
        <v>0.22495368343541475</v>
      </c>
      <c r="R325" s="9">
        <f t="shared" si="45"/>
        <v>0.93704853171621283</v>
      </c>
      <c r="S325" s="9">
        <f t="shared" si="46"/>
        <v>0.47892984301194641</v>
      </c>
      <c r="T325" s="9">
        <f t="shared" si="47"/>
        <v>1.5860925617831048</v>
      </c>
      <c r="U325" s="14">
        <f t="shared" si="48"/>
        <v>1.5527670976516188E-9</v>
      </c>
      <c r="W325" s="14">
        <f t="shared" si="49"/>
        <v>0.19126776768228454</v>
      </c>
      <c r="X325" s="16">
        <f t="shared" si="50"/>
        <v>2.4843560747970441E-3</v>
      </c>
    </row>
    <row r="326" spans="1:24" x14ac:dyDescent="0.3">
      <c r="A326" s="23">
        <v>13</v>
      </c>
      <c r="B326" s="23">
        <v>0.976358383123614</v>
      </c>
      <c r="C326" s="23">
        <v>0.98810848752736302</v>
      </c>
      <c r="D326" s="23">
        <v>0.96474800523293602</v>
      </c>
      <c r="E326" s="23">
        <v>0.49</v>
      </c>
      <c r="F326" s="23">
        <v>0.5</v>
      </c>
      <c r="G326" s="23">
        <v>1.37957366113942</v>
      </c>
      <c r="N326" s="9">
        <f t="shared" si="41"/>
        <v>-1.1568358681425235</v>
      </c>
      <c r="O326" s="9">
        <f t="shared" si="42"/>
        <v>2.4948571758728901</v>
      </c>
      <c r="P326" s="9">
        <f t="shared" si="43"/>
        <v>-6.5780454105817454E-2</v>
      </c>
      <c r="Q326" s="9">
        <f t="shared" si="44"/>
        <v>0.23924269973268811</v>
      </c>
      <c r="R326" s="9">
        <f t="shared" si="45"/>
        <v>0.92378050155116165</v>
      </c>
      <c r="S326" s="9">
        <f t="shared" si="46"/>
        <v>0.48356081383598526</v>
      </c>
      <c r="T326" s="9">
        <f t="shared" si="47"/>
        <v>1.3785816196157028</v>
      </c>
      <c r="U326" s="14">
        <f t="shared" si="48"/>
        <v>9.8414638477921392E-7</v>
      </c>
      <c r="W326" s="14">
        <f t="shared" si="49"/>
        <v>5.3260977737654029E-2</v>
      </c>
      <c r="X326" s="16">
        <f t="shared" si="50"/>
        <v>7.1909282676351369E-2</v>
      </c>
    </row>
    <row r="327" spans="1:24" x14ac:dyDescent="0.3">
      <c r="A327" s="23">
        <v>14</v>
      </c>
      <c r="B327" s="23">
        <v>0.95144310139704402</v>
      </c>
      <c r="C327" s="23">
        <v>0.97541944895365096</v>
      </c>
      <c r="D327" s="23">
        <v>0.92805610567545704</v>
      </c>
      <c r="E327" s="23">
        <v>0.36</v>
      </c>
      <c r="F327" s="23">
        <v>0.5</v>
      </c>
      <c r="G327" s="23">
        <v>1.1806405756407601</v>
      </c>
      <c r="N327" s="9">
        <f t="shared" si="41"/>
        <v>-1.1030328159912581</v>
      </c>
      <c r="O327" s="9">
        <f t="shared" si="42"/>
        <v>2.2774639095863085</v>
      </c>
      <c r="P327" s="9">
        <f t="shared" si="43"/>
        <v>-0.10409562037886466</v>
      </c>
      <c r="Q327" s="9">
        <f t="shared" si="44"/>
        <v>0.24917206744974768</v>
      </c>
      <c r="R327" s="9">
        <f t="shared" si="45"/>
        <v>0.90699333206030386</v>
      </c>
      <c r="S327" s="9">
        <f t="shared" si="46"/>
        <v>0.47399956883499289</v>
      </c>
      <c r="T327" s="9">
        <f t="shared" si="47"/>
        <v>1.1800110987630292</v>
      </c>
      <c r="U327" s="14">
        <f t="shared" si="48"/>
        <v>3.9624113959777964E-7</v>
      </c>
      <c r="W327" s="14">
        <f t="shared" si="49"/>
        <v>1.0144425368834591E-3</v>
      </c>
      <c r="X327" s="16">
        <f t="shared" si="50"/>
        <v>5.3316554649938147E-2</v>
      </c>
    </row>
    <row r="328" spans="1:24" x14ac:dyDescent="0.3">
      <c r="A328" s="23">
        <v>15</v>
      </c>
      <c r="B328" s="23">
        <v>0.91157954485698101</v>
      </c>
      <c r="C328" s="23">
        <v>0.95476674892718205</v>
      </c>
      <c r="D328" s="23">
        <v>0.87034583843162105</v>
      </c>
      <c r="E328" s="23">
        <v>0.25</v>
      </c>
      <c r="F328" s="23">
        <v>0.5</v>
      </c>
      <c r="G328" s="23">
        <v>0.99302588671479197</v>
      </c>
      <c r="N328" s="9">
        <f t="shared" si="41"/>
        <v>-1.0828169915998223</v>
      </c>
      <c r="O328" s="9">
        <f t="shared" si="42"/>
        <v>2.0350693297308204</v>
      </c>
      <c r="P328" s="9">
        <f t="shared" si="43"/>
        <v>-0.21540379344764082</v>
      </c>
      <c r="Q328" s="9">
        <f t="shared" si="44"/>
        <v>0.25297329741185393</v>
      </c>
      <c r="R328" s="9">
        <f t="shared" si="45"/>
        <v>0.88443024194009046</v>
      </c>
      <c r="S328" s="9">
        <f t="shared" si="46"/>
        <v>0.44635630830127226</v>
      </c>
      <c r="T328" s="9">
        <f t="shared" si="47"/>
        <v>0.99344744575434352</v>
      </c>
      <c r="U328" s="14">
        <f t="shared" si="48"/>
        <v>1.7771202382762067E-7</v>
      </c>
      <c r="W328" s="14">
        <f t="shared" si="49"/>
        <v>2.4262540324983636E-2</v>
      </c>
      <c r="X328" s="16">
        <f t="shared" si="50"/>
        <v>4.2451968794708868E-2</v>
      </c>
    </row>
    <row r="329" spans="1:24" x14ac:dyDescent="0.3">
      <c r="A329" s="23">
        <v>16</v>
      </c>
      <c r="B329" s="23">
        <v>0.85026083486688397</v>
      </c>
      <c r="C329" s="23">
        <v>0.92209589244659595</v>
      </c>
      <c r="D329" s="23">
        <v>0.78402202333896698</v>
      </c>
      <c r="E329" s="23">
        <v>0.16</v>
      </c>
      <c r="F329" s="23">
        <v>0.5</v>
      </c>
      <c r="G329" s="23">
        <v>0.82016058687770999</v>
      </c>
      <c r="N329" s="9">
        <f t="shared" si="41"/>
        <v>-1.1084018065316588</v>
      </c>
      <c r="O329" s="9">
        <f t="shared" si="42"/>
        <v>1.7500242154039209</v>
      </c>
      <c r="P329" s="9">
        <f t="shared" si="43"/>
        <v>-0.41847867117461024</v>
      </c>
      <c r="Q329" s="9">
        <f t="shared" si="44"/>
        <v>0.24816896127023089</v>
      </c>
      <c r="R329" s="9">
        <f t="shared" si="45"/>
        <v>0.85195585621241421</v>
      </c>
      <c r="S329" s="9">
        <f t="shared" si="46"/>
        <v>0.3968808480118064</v>
      </c>
      <c r="T329" s="9">
        <f t="shared" si="47"/>
        <v>0.82171217661063822</v>
      </c>
      <c r="U329" s="14">
        <f t="shared" si="48"/>
        <v>2.4074306993283211E-6</v>
      </c>
      <c r="W329" s="14">
        <f t="shared" si="49"/>
        <v>0.10799746277389632</v>
      </c>
      <c r="X329" s="16">
        <f t="shared" si="50"/>
        <v>0.18918121130826634</v>
      </c>
    </row>
    <row r="330" spans="1:24" x14ac:dyDescent="0.3">
      <c r="A330" s="23">
        <v>17</v>
      </c>
      <c r="B330" s="23">
        <v>0.758040166935394</v>
      </c>
      <c r="C330" s="23">
        <v>0.87065502177119103</v>
      </c>
      <c r="D330" s="23">
        <v>0.65999147804657299</v>
      </c>
      <c r="E330" s="23">
        <v>0.09</v>
      </c>
      <c r="F330" s="23">
        <v>0.5</v>
      </c>
      <c r="G330" s="23">
        <v>0.66788107362331595</v>
      </c>
      <c r="N330" s="9">
        <f t="shared" si="41"/>
        <v>-1.2016319517782388</v>
      </c>
      <c r="O330" s="9">
        <f t="shared" si="42"/>
        <v>1.3992740835039144</v>
      </c>
      <c r="P330" s="9">
        <f t="shared" si="43"/>
        <v>-0.73023661415173335</v>
      </c>
      <c r="Q330" s="9">
        <f t="shared" si="44"/>
        <v>0.23118502858263784</v>
      </c>
      <c r="R330" s="9">
        <f t="shared" si="45"/>
        <v>0.80206867130478166</v>
      </c>
      <c r="S330" s="9">
        <f t="shared" si="46"/>
        <v>0.32514280621855596</v>
      </c>
      <c r="T330" s="9">
        <f t="shared" si="47"/>
        <v>0.67035223632948882</v>
      </c>
      <c r="U330" s="14">
        <f t="shared" si="48"/>
        <v>6.1066451203796176E-6</v>
      </c>
      <c r="W330" s="14">
        <f t="shared" si="49"/>
        <v>0.23127364659135957</v>
      </c>
      <c r="X330" s="16">
        <f t="shared" si="50"/>
        <v>0.37000040931936962</v>
      </c>
    </row>
    <row r="331" spans="1:24" x14ac:dyDescent="0.3">
      <c r="A331" s="23">
        <v>18</v>
      </c>
      <c r="B331" s="23">
        <v>0.62081341767015497</v>
      </c>
      <c r="C331" s="23">
        <v>0.78791713883514103</v>
      </c>
      <c r="D331" s="23">
        <v>0.48914953180113402</v>
      </c>
      <c r="E331" s="23">
        <v>0.04</v>
      </c>
      <c r="F331" s="23">
        <v>0.5</v>
      </c>
      <c r="G331" s="23">
        <v>0.54511650554949598</v>
      </c>
      <c r="N331" s="9">
        <f t="shared" si="41"/>
        <v>-1.4048202861658416</v>
      </c>
      <c r="O331" s="9">
        <f t="shared" si="42"/>
        <v>0.95273644352893583</v>
      </c>
      <c r="P331" s="9">
        <f t="shared" si="43"/>
        <v>-1.1511598140819141</v>
      </c>
      <c r="Q331" s="9">
        <f t="shared" si="44"/>
        <v>0.19705231885426749</v>
      </c>
      <c r="R331" s="9">
        <f t="shared" si="45"/>
        <v>0.72166516579779416</v>
      </c>
      <c r="S331" s="9">
        <f t="shared" si="46"/>
        <v>0.24027730203868927</v>
      </c>
      <c r="T331" s="9">
        <f t="shared" si="47"/>
        <v>0.55140695893807179</v>
      </c>
      <c r="U331" s="14">
        <f t="shared" si="48"/>
        <v>3.9569803833844912E-5</v>
      </c>
      <c r="W331" s="14">
        <f t="shared" si="49"/>
        <v>0.36442200313025069</v>
      </c>
      <c r="X331" s="16">
        <f t="shared" si="50"/>
        <v>1.153964945940285</v>
      </c>
    </row>
    <row r="332" spans="1:24" x14ac:dyDescent="0.3">
      <c r="A332" s="23">
        <v>19</v>
      </c>
      <c r="B332" s="23">
        <v>0.41411550520763202</v>
      </c>
      <c r="C332" s="23">
        <v>0.64351806906071596</v>
      </c>
      <c r="D332" s="23">
        <v>0.26649081027931798</v>
      </c>
      <c r="E332" s="23">
        <v>0.01</v>
      </c>
      <c r="F332" s="23">
        <v>0.5</v>
      </c>
      <c r="G332" s="23">
        <v>0.47064971461430399</v>
      </c>
      <c r="N332" s="9">
        <f t="shared" si="41"/>
        <v>-1.8159113524388486</v>
      </c>
      <c r="O332" s="9">
        <f t="shared" si="42"/>
        <v>0.35885495252740518</v>
      </c>
      <c r="P332" s="9">
        <f t="shared" si="43"/>
        <v>-1.6170126000847524</v>
      </c>
      <c r="Q332" s="9">
        <f t="shared" si="44"/>
        <v>0.13992520188426991</v>
      </c>
      <c r="R332" s="9">
        <f t="shared" si="45"/>
        <v>0.58876322212162624</v>
      </c>
      <c r="S332" s="9">
        <f t="shared" si="46"/>
        <v>0.16561728132137277</v>
      </c>
      <c r="T332" s="9">
        <f t="shared" si="47"/>
        <v>0.4709650624520002</v>
      </c>
      <c r="U332" s="14">
        <f t="shared" si="48"/>
        <v>9.944425873967619E-8</v>
      </c>
      <c r="W332" s="14">
        <f t="shared" si="49"/>
        <v>0.45987460077646125</v>
      </c>
      <c r="X332" s="16">
        <f t="shared" si="50"/>
        <v>6.7002662044454472E-2</v>
      </c>
    </row>
    <row r="333" spans="1:24" x14ac:dyDescent="0.3">
      <c r="A333" s="23">
        <v>20</v>
      </c>
      <c r="B333" s="23">
        <v>0.60462132125511903</v>
      </c>
      <c r="C333" s="23">
        <v>0.77757399728586496</v>
      </c>
      <c r="D333" s="23">
        <v>0.47013781761260398</v>
      </c>
      <c r="E333" s="23">
        <v>0.13</v>
      </c>
      <c r="F333" s="23">
        <v>0.5</v>
      </c>
      <c r="G333" s="23">
        <v>0.74948121122207101</v>
      </c>
      <c r="N333" s="9">
        <f t="shared" si="41"/>
        <v>-1.4936887077258618</v>
      </c>
      <c r="O333" s="9">
        <f t="shared" si="42"/>
        <v>1.0028726907016987</v>
      </c>
      <c r="P333" s="9">
        <f t="shared" si="43"/>
        <v>-1.2485289425947612</v>
      </c>
      <c r="Q333" s="9">
        <f t="shared" si="44"/>
        <v>0.18336871797532464</v>
      </c>
      <c r="R333" s="9">
        <f t="shared" si="45"/>
        <v>0.7316230088681952</v>
      </c>
      <c r="S333" s="9">
        <f t="shared" si="46"/>
        <v>0.22295488977718708</v>
      </c>
      <c r="T333" s="9">
        <f t="shared" si="47"/>
        <v>0.71675722012392218</v>
      </c>
      <c r="U333" s="14">
        <f t="shared" si="48"/>
        <v>1.070859593391724E-3</v>
      </c>
      <c r="W333" s="14">
        <f t="shared" si="49"/>
        <v>0.15944771730766813</v>
      </c>
      <c r="X333" s="16">
        <f t="shared" si="50"/>
        <v>4.3662190069835818</v>
      </c>
    </row>
    <row r="334" spans="1:24" x14ac:dyDescent="0.3">
      <c r="A334" s="23">
        <v>21</v>
      </c>
      <c r="B334" s="23">
        <v>0.53604508929966299</v>
      </c>
      <c r="C334" s="23">
        <v>0.73215100170638503</v>
      </c>
      <c r="D334" s="23">
        <v>0.392465949090537</v>
      </c>
      <c r="E334" s="23">
        <v>3.6249999999999998E-2</v>
      </c>
      <c r="F334" s="23">
        <v>0.5</v>
      </c>
      <c r="G334" s="23">
        <v>0.53719585553440397</v>
      </c>
      <c r="N334" s="9">
        <f t="shared" si="41"/>
        <v>-1.5671159561364829</v>
      </c>
      <c r="O334" s="9">
        <f t="shared" si="42"/>
        <v>0.71488378905517558</v>
      </c>
      <c r="P334" s="9">
        <f t="shared" si="43"/>
        <v>-1.377772400051831</v>
      </c>
      <c r="Q334" s="9">
        <f t="shared" si="44"/>
        <v>0.1726279237416776</v>
      </c>
      <c r="R334" s="9">
        <f t="shared" si="45"/>
        <v>0.67147939920433397</v>
      </c>
      <c r="S334" s="9">
        <f t="shared" si="46"/>
        <v>0.2013670003549754</v>
      </c>
      <c r="T334" s="9">
        <f t="shared" si="47"/>
        <v>0.53463448446841666</v>
      </c>
      <c r="U334" s="14">
        <f t="shared" si="48"/>
        <v>6.5606217376769469E-6</v>
      </c>
      <c r="W334" s="14">
        <f t="shared" si="49"/>
        <v>0.37404771690880195</v>
      </c>
      <c r="X334" s="16">
        <f t="shared" si="50"/>
        <v>0.47680395140786158</v>
      </c>
    </row>
    <row r="335" spans="1:24" x14ac:dyDescent="0.3">
      <c r="A335" s="23">
        <v>22</v>
      </c>
      <c r="B335" s="23">
        <v>0.482056160699321</v>
      </c>
      <c r="C335" s="23">
        <v>0.69430264344831705</v>
      </c>
      <c r="D335" s="23">
        <v>0.33469286666408499</v>
      </c>
      <c r="E335" s="23">
        <v>1.8888888888889E-2</v>
      </c>
      <c r="F335" s="23">
        <v>0.5</v>
      </c>
      <c r="G335" s="23">
        <v>0.49154099460380601</v>
      </c>
      <c r="N335" s="9">
        <f t="shared" si="41"/>
        <v>-1.6690928238850187</v>
      </c>
      <c r="O335" s="9">
        <f t="shared" si="42"/>
        <v>0.5503348140679063</v>
      </c>
      <c r="P335" s="9">
        <f t="shared" si="43"/>
        <v>-1.4921130070764681</v>
      </c>
      <c r="Q335" s="9">
        <f t="shared" si="44"/>
        <v>0.15854516645198832</v>
      </c>
      <c r="R335" s="9">
        <f t="shared" si="45"/>
        <v>0.63421326694442459</v>
      </c>
      <c r="S335" s="9">
        <f t="shared" si="46"/>
        <v>0.18360478841852329</v>
      </c>
      <c r="T335" s="9">
        <f t="shared" si="47"/>
        <v>0.49607051094753485</v>
      </c>
      <c r="U335" s="14">
        <f t="shared" si="48"/>
        <v>2.0516518308106627E-5</v>
      </c>
      <c r="W335" s="14">
        <f t="shared" si="49"/>
        <v>0.43197659829868085</v>
      </c>
      <c r="X335" s="16">
        <f t="shared" si="50"/>
        <v>0.92149309893872311</v>
      </c>
    </row>
    <row r="336" spans="1:24" x14ac:dyDescent="0.3">
      <c r="A336" s="23">
        <v>23</v>
      </c>
      <c r="B336" s="23">
        <v>0.44329834371454502</v>
      </c>
      <c r="C336" s="23">
        <v>0.66580653625099295</v>
      </c>
      <c r="D336" s="23">
        <v>0.29515093475438398</v>
      </c>
      <c r="E336" s="23">
        <v>1.2812499999999999E-2</v>
      </c>
      <c r="F336" s="23">
        <v>0.5</v>
      </c>
      <c r="G336" s="23">
        <v>0.47619596255475299</v>
      </c>
      <c r="N336" s="9">
        <f t="shared" si="41"/>
        <v>-1.7507622936342064</v>
      </c>
      <c r="O336" s="9">
        <f t="shared" si="42"/>
        <v>0.43987986206802399</v>
      </c>
      <c r="P336" s="9">
        <f t="shared" si="43"/>
        <v>-1.5665633795515275</v>
      </c>
      <c r="Q336" s="9">
        <f t="shared" si="44"/>
        <v>0.14795107631952378</v>
      </c>
      <c r="R336" s="9">
        <f t="shared" si="45"/>
        <v>0.60823040390992755</v>
      </c>
      <c r="S336" s="9">
        <f t="shared" si="46"/>
        <v>0.17270686116457856</v>
      </c>
      <c r="T336" s="9">
        <f t="shared" si="47"/>
        <v>0.48014754602794174</v>
      </c>
      <c r="U336" s="14">
        <f t="shared" si="48"/>
        <v>1.561501194557844E-5</v>
      </c>
      <c r="W336" s="14">
        <f t="shared" si="49"/>
        <v>0.45238309042420954</v>
      </c>
      <c r="X336" s="16">
        <f t="shared" si="50"/>
        <v>0.82982296867634486</v>
      </c>
    </row>
    <row r="337" spans="1:24" x14ac:dyDescent="0.3">
      <c r="A337" s="23">
        <v>24</v>
      </c>
      <c r="B337" s="23">
        <v>0.75641498946707797</v>
      </c>
      <c r="C337" s="23">
        <v>0.86972121364669397</v>
      </c>
      <c r="D337" s="23">
        <v>0.65787016265985798</v>
      </c>
      <c r="E337" s="23">
        <v>0.24222222222222201</v>
      </c>
      <c r="F337" s="23">
        <v>0.5</v>
      </c>
      <c r="G337" s="23">
        <v>0.95909903653911999</v>
      </c>
      <c r="N337" s="9">
        <f t="shared" si="41"/>
        <v>-1.3033026985369141</v>
      </c>
      <c r="O337" s="9">
        <f t="shared" si="42"/>
        <v>1.5556713960034199</v>
      </c>
      <c r="P337" s="9">
        <f t="shared" si="43"/>
        <v>-0.82174202562723186</v>
      </c>
      <c r="Q337" s="9">
        <f t="shared" si="44"/>
        <v>0.2136097029380275</v>
      </c>
      <c r="R337" s="9">
        <f t="shared" si="45"/>
        <v>0.82573134878525112</v>
      </c>
      <c r="S337" s="9">
        <f t="shared" si="46"/>
        <v>0.30539400137552397</v>
      </c>
      <c r="T337" s="9">
        <f t="shared" si="47"/>
        <v>0.93464995136166518</v>
      </c>
      <c r="U337" s="14">
        <f t="shared" si="48"/>
        <v>5.9775776601444055E-4</v>
      </c>
      <c r="W337" s="14">
        <f t="shared" si="49"/>
        <v>3.5982760672201408E-2</v>
      </c>
      <c r="X337" s="16">
        <f t="shared" si="50"/>
        <v>2.5491721132030949</v>
      </c>
    </row>
    <row r="338" spans="1:24" x14ac:dyDescent="0.3">
      <c r="A338" s="23">
        <v>25</v>
      </c>
      <c r="B338" s="23">
        <v>0.84330333318766404</v>
      </c>
      <c r="C338" s="23">
        <v>0.91831548674062102</v>
      </c>
      <c r="D338" s="23">
        <v>0.77441851088621805</v>
      </c>
      <c r="E338" s="23">
        <v>0.32624999999999998</v>
      </c>
      <c r="F338" s="23">
        <v>0.5</v>
      </c>
      <c r="G338" s="23">
        <v>1.10359790270063</v>
      </c>
      <c r="N338" s="9">
        <f t="shared" si="41"/>
        <v>-1.2265733508718901</v>
      </c>
      <c r="O338" s="9">
        <f t="shared" si="42"/>
        <v>1.9048266804252394</v>
      </c>
      <c r="P338" s="9">
        <f t="shared" si="43"/>
        <v>-0.53982066650578953</v>
      </c>
      <c r="Q338" s="9">
        <f t="shared" si="44"/>
        <v>0.22678173213996389</v>
      </c>
      <c r="R338" s="9">
        <f t="shared" si="45"/>
        <v>0.87043683595145727</v>
      </c>
      <c r="S338" s="9">
        <f t="shared" si="46"/>
        <v>0.36822930079128691</v>
      </c>
      <c r="T338" s="9">
        <f t="shared" si="47"/>
        <v>1.0903683687917778</v>
      </c>
      <c r="U338" s="14">
        <f t="shared" si="48"/>
        <v>1.7502056744546953E-4</v>
      </c>
      <c r="W338" s="14">
        <f t="shared" si="49"/>
        <v>2.0423492569335939E-3</v>
      </c>
      <c r="X338" s="16">
        <f t="shared" si="50"/>
        <v>1.1987639589091277</v>
      </c>
    </row>
    <row r="339" spans="1:24" x14ac:dyDescent="0.3">
      <c r="A339" s="23">
        <v>26</v>
      </c>
      <c r="B339" s="23">
        <v>0.82722243711388799</v>
      </c>
      <c r="C339" s="23">
        <v>0.90951769477778099</v>
      </c>
      <c r="D339" s="23">
        <v>0.75237344407228102</v>
      </c>
      <c r="E339" s="23">
        <v>0.17</v>
      </c>
      <c r="F339" s="23">
        <v>0.5</v>
      </c>
      <c r="G339" s="23">
        <v>0.83654827509767704</v>
      </c>
      <c r="N339" s="9">
        <f t="shared" ref="N339:N391" si="51">B339*$I$1+C339*$J$1+D339*$K$1+E339*$L$1+F339*$M$1+$I$4</f>
        <v>-1.1481840134792993</v>
      </c>
      <c r="O339" s="9">
        <f t="shared" ref="O339:O391" si="52">$I$2*B339+$J$2*C339+$K$2*D339+$L$2*E339+$M$2*F339+$I$5</f>
        <v>1.6905364316617677</v>
      </c>
      <c r="P339" s="9">
        <f t="shared" ref="P339:P391" si="53">$I$3*B339+$J$3*C339+$K$3*D339+$L$3*E339+$M$3*F339+$I$6</f>
        <v>-0.51532985662432518</v>
      </c>
      <c r="Q339" s="9">
        <f t="shared" ref="Q339:Q391" si="54">1/(1+EXP(-N339))</f>
        <v>0.24082093670627314</v>
      </c>
      <c r="R339" s="9">
        <f t="shared" ref="R339:R391" si="55">1/(1+EXP(-O339))</f>
        <v>0.84429469283225722</v>
      </c>
      <c r="S339" s="9">
        <f t="shared" ref="S339:S391" si="56">1/(1+EXP(-P339))</f>
        <v>0.37394491625049381</v>
      </c>
      <c r="T339" s="9">
        <f t="shared" ref="T339:T391" si="57">$I$7*Q339+$J$7*R339+$K$7*S339+$I$8</f>
        <v>0.8308041744954241</v>
      </c>
      <c r="U339" s="14">
        <f t="shared" ref="U339:U391" si="58">(G339-T339)^2</f>
        <v>3.2994691728802631E-5</v>
      </c>
      <c r="W339" s="14">
        <f t="shared" ref="W339:W391" si="59">(G339-$V$4)^2</f>
        <v>9.7495057817399561E-2</v>
      </c>
      <c r="X339" s="16">
        <f t="shared" ref="X339:X391" si="60">100*ABS((T339-G339)/G339)</f>
        <v>0.68664305136272641</v>
      </c>
    </row>
    <row r="340" spans="1:24" x14ac:dyDescent="0.3">
      <c r="A340" s="23">
        <v>27</v>
      </c>
      <c r="B340" s="23">
        <v>0.79294453563825096</v>
      </c>
      <c r="C340" s="23">
        <v>0.89047433182447799</v>
      </c>
      <c r="D340" s="23">
        <v>0.70609675554634299</v>
      </c>
      <c r="E340" s="23">
        <v>0.1153125</v>
      </c>
      <c r="F340" s="23">
        <v>0.5</v>
      </c>
      <c r="G340" s="23">
        <v>0.72470228531724901</v>
      </c>
      <c r="N340" s="9">
        <f t="shared" si="51"/>
        <v>-1.1638031383303036</v>
      </c>
      <c r="O340" s="9">
        <f t="shared" si="52"/>
        <v>1.5295701569751172</v>
      </c>
      <c r="P340" s="9">
        <f t="shared" si="53"/>
        <v>-0.61600999704660864</v>
      </c>
      <c r="Q340" s="9">
        <f t="shared" si="54"/>
        <v>0.23797692207318874</v>
      </c>
      <c r="R340" s="9">
        <f t="shared" si="55"/>
        <v>0.8219434143444968</v>
      </c>
      <c r="S340" s="9">
        <f t="shared" si="56"/>
        <v>0.35068945833435244</v>
      </c>
      <c r="T340" s="9">
        <f t="shared" si="57"/>
        <v>0.72536114450065015</v>
      </c>
      <c r="U340" s="14">
        <f t="shared" si="58"/>
        <v>4.3409542355201605E-7</v>
      </c>
      <c r="W340" s="14">
        <f t="shared" si="59"/>
        <v>0.17985061119634629</v>
      </c>
      <c r="X340" s="16">
        <f t="shared" si="60"/>
        <v>9.0914461945254391E-2</v>
      </c>
    </row>
    <row r="341" spans="1:24" x14ac:dyDescent="0.3">
      <c r="A341" s="23">
        <v>28</v>
      </c>
      <c r="B341" s="23">
        <v>0.723369663208</v>
      </c>
      <c r="C341" s="23">
        <v>0.85051141274412101</v>
      </c>
      <c r="D341" s="23">
        <v>0.61523415419127503</v>
      </c>
      <c r="E341" s="23">
        <v>0.1</v>
      </c>
      <c r="F341" s="23">
        <v>0.5</v>
      </c>
      <c r="G341" s="23">
        <v>0.68825927433519396</v>
      </c>
      <c r="N341" s="9">
        <f t="shared" si="51"/>
        <v>-1.2642902083106371</v>
      </c>
      <c r="O341" s="9">
        <f t="shared" si="52"/>
        <v>1.3084713387695845</v>
      </c>
      <c r="P341" s="9">
        <f t="shared" si="53"/>
        <v>-0.85793303229999596</v>
      </c>
      <c r="Q341" s="9">
        <f t="shared" si="54"/>
        <v>0.22023624091007177</v>
      </c>
      <c r="R341" s="9">
        <f t="shared" si="55"/>
        <v>0.78725724311226442</v>
      </c>
      <c r="S341" s="9">
        <f t="shared" si="56"/>
        <v>0.29777137526577568</v>
      </c>
      <c r="T341" s="9">
        <f t="shared" si="57"/>
        <v>0.6802121653657901</v>
      </c>
      <c r="U341" s="14">
        <f t="shared" si="58"/>
        <v>6.475596276546006E-5</v>
      </c>
      <c r="W341" s="14">
        <f t="shared" si="59"/>
        <v>0.21208878976278536</v>
      </c>
      <c r="X341" s="16">
        <f t="shared" si="60"/>
        <v>1.1691973169815626</v>
      </c>
    </row>
    <row r="342" spans="1:24" x14ac:dyDescent="0.3">
      <c r="A342" s="23">
        <v>29</v>
      </c>
      <c r="B342" s="23">
        <v>0.90058022766249901</v>
      </c>
      <c r="C342" s="23">
        <v>0.94898905560733404</v>
      </c>
      <c r="D342" s="23">
        <v>0.85464077974807295</v>
      </c>
      <c r="E342" s="23">
        <v>0.4</v>
      </c>
      <c r="F342" s="23">
        <v>0.5</v>
      </c>
      <c r="G342" s="23">
        <v>1.2262397552790201</v>
      </c>
      <c r="N342" s="9">
        <f t="shared" si="51"/>
        <v>-1.1950951510911483</v>
      </c>
      <c r="O342" s="9">
        <f t="shared" si="52"/>
        <v>2.1595106794444279</v>
      </c>
      <c r="P342" s="9">
        <f t="shared" si="53"/>
        <v>-0.34647166830161236</v>
      </c>
      <c r="Q342" s="9">
        <f t="shared" si="54"/>
        <v>0.23234891082213205</v>
      </c>
      <c r="R342" s="9">
        <f t="shared" si="55"/>
        <v>0.89655417541676052</v>
      </c>
      <c r="S342" s="9">
        <f t="shared" si="56"/>
        <v>0.41423829300816845</v>
      </c>
      <c r="T342" s="9">
        <f t="shared" si="57"/>
        <v>1.2200620173294556</v>
      </c>
      <c r="U342" s="14">
        <f t="shared" si="58"/>
        <v>3.8164446173488695E-5</v>
      </c>
      <c r="W342" s="14">
        <f t="shared" si="59"/>
        <v>5.9984241498945608E-3</v>
      </c>
      <c r="X342" s="16">
        <f t="shared" si="60"/>
        <v>0.50379527518733513</v>
      </c>
    </row>
    <row r="343" spans="1:24" x14ac:dyDescent="0.3">
      <c r="A343" s="23">
        <v>30</v>
      </c>
      <c r="B343" s="23">
        <v>0.93966736106488902</v>
      </c>
      <c r="C343" s="23">
        <v>0.96936441087182901</v>
      </c>
      <c r="D343" s="23">
        <v>0.91088009787415303</v>
      </c>
      <c r="E343" s="23">
        <v>0.47222222222222199</v>
      </c>
      <c r="F343" s="23">
        <v>0.5</v>
      </c>
      <c r="G343" s="23">
        <v>1.3406185429837101</v>
      </c>
      <c r="N343" s="9">
        <f t="shared" si="51"/>
        <v>-1.1909954279317889</v>
      </c>
      <c r="O343" s="9">
        <f t="shared" si="52"/>
        <v>2.358881279412679</v>
      </c>
      <c r="P343" s="9">
        <f t="shared" si="53"/>
        <v>-0.2190748296547218</v>
      </c>
      <c r="Q343" s="9">
        <f t="shared" si="54"/>
        <v>0.23308095155090111</v>
      </c>
      <c r="R343" s="9">
        <f t="shared" si="55"/>
        <v>0.91363757486082275</v>
      </c>
      <c r="S343" s="9">
        <f t="shared" si="56"/>
        <v>0.4454492928262081</v>
      </c>
      <c r="T343" s="9">
        <f t="shared" si="57"/>
        <v>1.3386747088683846</v>
      </c>
      <c r="U343" s="14">
        <f t="shared" si="58"/>
        <v>3.7784910679032867E-6</v>
      </c>
      <c r="W343" s="14">
        <f t="shared" si="59"/>
        <v>3.679808973369704E-2</v>
      </c>
      <c r="X343" s="16">
        <f t="shared" si="60"/>
        <v>0.14499531768367641</v>
      </c>
    </row>
    <row r="344" spans="1:24" x14ac:dyDescent="0.3">
      <c r="A344" s="23">
        <v>31</v>
      </c>
      <c r="B344" s="23">
        <v>0.93311773293603195</v>
      </c>
      <c r="C344" s="23">
        <v>0.96598019282800596</v>
      </c>
      <c r="D344" s="23">
        <v>0.90137324759278004</v>
      </c>
      <c r="E344" s="23">
        <v>0.3203125</v>
      </c>
      <c r="F344" s="23">
        <v>0.5</v>
      </c>
      <c r="G344" s="23">
        <v>1.1137904196494699</v>
      </c>
      <c r="N344" s="9">
        <f t="shared" si="51"/>
        <v>-1.1005013652143576</v>
      </c>
      <c r="O344" s="9">
        <f t="shared" si="52"/>
        <v>2.1773013004431423</v>
      </c>
      <c r="P344" s="9">
        <f t="shared" si="53"/>
        <v>-0.16217957903879443</v>
      </c>
      <c r="Q344" s="9">
        <f t="shared" si="54"/>
        <v>0.24964596545245288</v>
      </c>
      <c r="R344" s="9">
        <f t="shared" si="55"/>
        <v>0.89819256082135612</v>
      </c>
      <c r="S344" s="9">
        <f t="shared" si="56"/>
        <v>0.45954374049838642</v>
      </c>
      <c r="T344" s="9">
        <f t="shared" si="57"/>
        <v>1.1122459170831083</v>
      </c>
      <c r="U344" s="14">
        <f t="shared" si="58"/>
        <v>2.3854881774976531E-6</v>
      </c>
      <c r="W344" s="14">
        <f t="shared" si="59"/>
        <v>1.2249889009709283E-3</v>
      </c>
      <c r="X344" s="16">
        <f t="shared" si="60"/>
        <v>0.13867084319577022</v>
      </c>
    </row>
    <row r="345" spans="1:24" x14ac:dyDescent="0.3">
      <c r="A345" s="23">
        <v>32</v>
      </c>
      <c r="B345" s="23">
        <v>0.67803485561868704</v>
      </c>
      <c r="C345" s="23">
        <v>0.82342871920931104</v>
      </c>
      <c r="D345" s="23">
        <v>0.55831337274136505</v>
      </c>
      <c r="E345" s="23">
        <v>6.0816326530612003E-2</v>
      </c>
      <c r="F345" s="23">
        <v>0.5</v>
      </c>
      <c r="G345" s="23">
        <v>0.59757122790436901</v>
      </c>
      <c r="N345" s="9">
        <f t="shared" si="51"/>
        <v>-1.3156247928594191</v>
      </c>
      <c r="O345" s="9">
        <f t="shared" si="52"/>
        <v>1.1364420594269882</v>
      </c>
      <c r="P345" s="9">
        <f t="shared" si="53"/>
        <v>-0.98687659836374109</v>
      </c>
      <c r="Q345" s="9">
        <f t="shared" si="54"/>
        <v>0.21154713492003469</v>
      </c>
      <c r="R345" s="9">
        <f t="shared" si="55"/>
        <v>0.7570257980746089</v>
      </c>
      <c r="S345" s="9">
        <f t="shared" si="56"/>
        <v>0.27152944920408795</v>
      </c>
      <c r="T345" s="9">
        <f t="shared" si="57"/>
        <v>0.59935732709428946</v>
      </c>
      <c r="U345" s="14">
        <f t="shared" si="58"/>
        <v>3.1901503162345008E-6</v>
      </c>
      <c r="W345" s="14">
        <f t="shared" si="59"/>
        <v>0.30384242254781341</v>
      </c>
      <c r="X345" s="16">
        <f t="shared" si="60"/>
        <v>0.29889310370316025</v>
      </c>
    </row>
    <row r="346" spans="1:24" x14ac:dyDescent="0.3">
      <c r="A346" s="23">
        <v>33</v>
      </c>
      <c r="B346" s="23">
        <v>0.89158042542455795</v>
      </c>
      <c r="C346" s="23">
        <v>0.94423536548074605</v>
      </c>
      <c r="D346" s="23">
        <v>0.84186176885623698</v>
      </c>
      <c r="E346" s="23">
        <v>0.24326530612244901</v>
      </c>
      <c r="F346" s="23">
        <v>0.5</v>
      </c>
      <c r="G346" s="23">
        <v>0.97758182809382699</v>
      </c>
      <c r="N346" s="9">
        <f t="shared" si="51"/>
        <v>-1.1051939763757648</v>
      </c>
      <c r="O346" s="9">
        <f t="shared" si="52"/>
        <v>1.9655302316048522</v>
      </c>
      <c r="P346" s="9">
        <f t="shared" si="53"/>
        <v>-0.29608175644773416</v>
      </c>
      <c r="Q346" s="9">
        <f t="shared" si="54"/>
        <v>0.2487679652193574</v>
      </c>
      <c r="R346" s="9">
        <f t="shared" si="55"/>
        <v>0.87713020514421602</v>
      </c>
      <c r="S346" s="9">
        <f t="shared" si="56"/>
        <v>0.42651560863588733</v>
      </c>
      <c r="T346" s="9">
        <f t="shared" si="57"/>
        <v>0.97474434858374404</v>
      </c>
      <c r="U346" s="14">
        <f t="shared" si="58"/>
        <v>8.051289970140589E-6</v>
      </c>
      <c r="W346" s="14">
        <f t="shared" si="59"/>
        <v>2.9312327529536691E-2</v>
      </c>
      <c r="X346" s="16">
        <f t="shared" si="60"/>
        <v>0.29025493606153802</v>
      </c>
    </row>
    <row r="347" spans="1:24" x14ac:dyDescent="0.3">
      <c r="A347" s="23">
        <v>34</v>
      </c>
      <c r="B347" s="23">
        <v>0.96611717808573405</v>
      </c>
      <c r="C347" s="23">
        <v>0.98291259941346498</v>
      </c>
      <c r="D347" s="23">
        <v>0.94960874685024999</v>
      </c>
      <c r="E347" s="23">
        <v>0.54734693877550999</v>
      </c>
      <c r="F347" s="23">
        <v>0.5</v>
      </c>
      <c r="G347" s="23">
        <v>1.4532597025694101</v>
      </c>
      <c r="N347" s="9">
        <f t="shared" si="51"/>
        <v>-1.2067142431442579</v>
      </c>
      <c r="O347" s="9">
        <f t="shared" si="52"/>
        <v>2.5227045196438773</v>
      </c>
      <c r="P347" s="9">
        <f t="shared" si="53"/>
        <v>-0.14416462788063744</v>
      </c>
      <c r="Q347" s="9">
        <f t="shared" si="54"/>
        <v>0.23028294404805516</v>
      </c>
      <c r="R347" s="9">
        <f t="shared" si="55"/>
        <v>0.92571824261930091</v>
      </c>
      <c r="S347" s="9">
        <f t="shared" si="56"/>
        <v>0.46402113517029447</v>
      </c>
      <c r="T347" s="9">
        <f t="shared" si="57"/>
        <v>1.4531663401479493</v>
      </c>
      <c r="U347" s="14">
        <f t="shared" si="58"/>
        <v>8.7165417410130167E-9</v>
      </c>
      <c r="W347" s="14">
        <f t="shared" si="59"/>
        <v>9.2701640793838483E-2</v>
      </c>
      <c r="X347" s="16">
        <f t="shared" si="60"/>
        <v>6.4243453042613884E-3</v>
      </c>
    </row>
    <row r="348" spans="1:24" x14ac:dyDescent="0.3">
      <c r="A348" s="23">
        <v>35</v>
      </c>
      <c r="B348" s="23">
        <v>0.98325960470347495</v>
      </c>
      <c r="C348" s="23">
        <v>0.99159447593432803</v>
      </c>
      <c r="D348" s="23">
        <v>0.97499479243333698</v>
      </c>
      <c r="E348" s="23">
        <v>0.6278125</v>
      </c>
      <c r="F348" s="23">
        <v>0.5</v>
      </c>
      <c r="G348" s="23">
        <v>1.5664033287902299</v>
      </c>
      <c r="N348" s="9">
        <f t="shared" si="51"/>
        <v>-1.2381817213694233</v>
      </c>
      <c r="O348" s="9">
        <f t="shared" si="52"/>
        <v>2.6630104366414109</v>
      </c>
      <c r="P348" s="9">
        <f t="shared" si="53"/>
        <v>-0.11202493846838479</v>
      </c>
      <c r="Q348" s="9">
        <f t="shared" si="54"/>
        <v>0.22475264201848982</v>
      </c>
      <c r="R348" s="9">
        <f t="shared" si="55"/>
        <v>0.93480836796995259</v>
      </c>
      <c r="S348" s="9">
        <f t="shared" si="56"/>
        <v>0.47202301756262161</v>
      </c>
      <c r="T348" s="9">
        <f t="shared" si="57"/>
        <v>1.5670430474838044</v>
      </c>
      <c r="U348" s="14">
        <f t="shared" si="58"/>
        <v>4.0924000690864835E-7</v>
      </c>
      <c r="W348" s="14">
        <f t="shared" si="59"/>
        <v>0.17440067431270007</v>
      </c>
      <c r="X348" s="16">
        <f t="shared" si="60"/>
        <v>4.0839972810103563E-2</v>
      </c>
    </row>
    <row r="349" spans="1:24" x14ac:dyDescent="0.3">
      <c r="A349" s="23">
        <v>36</v>
      </c>
      <c r="B349" s="23">
        <v>0.63822315837842403</v>
      </c>
      <c r="C349" s="23">
        <v>0.79888870212215701</v>
      </c>
      <c r="D349" s="23">
        <v>0.50986927066124299</v>
      </c>
      <c r="E349" s="23">
        <v>4.4691358024691E-2</v>
      </c>
      <c r="F349" s="23">
        <v>0.5</v>
      </c>
      <c r="G349" s="23">
        <v>0.557212060363378</v>
      </c>
      <c r="N349" s="9">
        <f t="shared" si="51"/>
        <v>-1.3759159800517067</v>
      </c>
      <c r="O349" s="9">
        <f t="shared" si="52"/>
        <v>1.0065410594517037</v>
      </c>
      <c r="P349" s="9">
        <f t="shared" si="53"/>
        <v>-1.102025411374113</v>
      </c>
      <c r="Q349" s="9">
        <f t="shared" si="54"/>
        <v>0.20166571223857924</v>
      </c>
      <c r="R349" s="9">
        <f t="shared" si="55"/>
        <v>0.73234268364074362</v>
      </c>
      <c r="S349" s="9">
        <f t="shared" si="56"/>
        <v>0.24936058571321248</v>
      </c>
      <c r="T349" s="9">
        <f t="shared" si="57"/>
        <v>0.56270563516456396</v>
      </c>
      <c r="U349" s="14">
        <f t="shared" si="58"/>
        <v>3.0179364096225273E-5</v>
      </c>
      <c r="W349" s="14">
        <f t="shared" si="59"/>
        <v>0.34996476757678441</v>
      </c>
      <c r="X349" s="16">
        <f t="shared" si="60"/>
        <v>0.98590378636158638</v>
      </c>
    </row>
    <row r="350" spans="1:24" x14ac:dyDescent="0.3">
      <c r="A350" s="23">
        <v>37</v>
      </c>
      <c r="B350" s="23">
        <v>0.86512518623928802</v>
      </c>
      <c r="C350" s="23">
        <v>0.93012105999127204</v>
      </c>
      <c r="D350" s="23">
        <v>0.80467115525003297</v>
      </c>
      <c r="E350" s="23">
        <v>0.178765432098765</v>
      </c>
      <c r="F350" s="23">
        <v>0.5</v>
      </c>
      <c r="G350" s="23">
        <v>0.857835759600304</v>
      </c>
      <c r="N350" s="9">
        <f t="shared" si="51"/>
        <v>-1.0996324634434054</v>
      </c>
      <c r="O350" s="9">
        <f t="shared" si="52"/>
        <v>1.8154569669528062</v>
      </c>
      <c r="P350" s="9">
        <f t="shared" si="53"/>
        <v>-0.36897774364828984</v>
      </c>
      <c r="Q350" s="9">
        <f t="shared" si="54"/>
        <v>0.24980876601923857</v>
      </c>
      <c r="R350" s="9">
        <f t="shared" si="55"/>
        <v>0.86002010562907327</v>
      </c>
      <c r="S350" s="9">
        <f t="shared" si="56"/>
        <v>0.40878805781673372</v>
      </c>
      <c r="T350" s="9">
        <f t="shared" si="57"/>
        <v>0.85882888764204568</v>
      </c>
      <c r="U350" s="14">
        <f t="shared" si="58"/>
        <v>9.8630330729365512E-7</v>
      </c>
      <c r="W350" s="14">
        <f t="shared" si="59"/>
        <v>8.4654521938020963E-2</v>
      </c>
      <c r="X350" s="16">
        <f t="shared" si="60"/>
        <v>0.115771350241264</v>
      </c>
    </row>
    <row r="351" spans="1:24" x14ac:dyDescent="0.3">
      <c r="A351" s="23">
        <v>38</v>
      </c>
      <c r="B351" s="23">
        <v>0.95986863223136598</v>
      </c>
      <c r="C351" s="23">
        <v>0.97972885648600005</v>
      </c>
      <c r="D351" s="23">
        <v>0.94041099743281698</v>
      </c>
      <c r="E351" s="23">
        <v>0.40222222222222198</v>
      </c>
      <c r="F351" s="23">
        <v>0.5</v>
      </c>
      <c r="G351" s="23">
        <v>1.2473333411905201</v>
      </c>
      <c r="N351" s="9">
        <f t="shared" si="51"/>
        <v>-1.1199842194153333</v>
      </c>
      <c r="O351" s="9">
        <f t="shared" si="52"/>
        <v>2.3490473703016681</v>
      </c>
      <c r="P351" s="9">
        <f t="shared" si="53"/>
        <v>-9.0433352856655769E-2</v>
      </c>
      <c r="Q351" s="9">
        <f t="shared" si="54"/>
        <v>0.24601421069920343</v>
      </c>
      <c r="R351" s="9">
        <f t="shared" si="55"/>
        <v>0.91285847768752448</v>
      </c>
      <c r="S351" s="9">
        <f t="shared" si="56"/>
        <v>0.4774070571382692</v>
      </c>
      <c r="T351" s="9">
        <f t="shared" si="57"/>
        <v>1.2460819200855267</v>
      </c>
      <c r="U351" s="14">
        <f t="shared" si="58"/>
        <v>1.5660547820229853E-6</v>
      </c>
      <c r="W351" s="14">
        <f t="shared" si="59"/>
        <v>9.7107386353915259E-3</v>
      </c>
      <c r="X351" s="16">
        <f t="shared" si="60"/>
        <v>0.10032772023868226</v>
      </c>
    </row>
    <row r="352" spans="1:24" x14ac:dyDescent="0.3">
      <c r="A352" s="23">
        <v>39</v>
      </c>
      <c r="B352" s="23">
        <v>0.993341005660478</v>
      </c>
      <c r="C352" s="23">
        <v>0.99666494152271501</v>
      </c>
      <c r="D352" s="23">
        <v>0.99002815531871602</v>
      </c>
      <c r="E352" s="23">
        <v>0.71506172839506199</v>
      </c>
      <c r="F352" s="23">
        <v>0.5</v>
      </c>
      <c r="G352" s="23">
        <v>1.68165977143882</v>
      </c>
      <c r="N352" s="9">
        <f t="shared" si="51"/>
        <v>-1.2828947330669067</v>
      </c>
      <c r="O352" s="9">
        <f t="shared" si="52"/>
        <v>2.7879798448074595</v>
      </c>
      <c r="P352" s="9">
        <f t="shared" si="53"/>
        <v>-0.11505794987617135</v>
      </c>
      <c r="Q352" s="9">
        <f t="shared" si="54"/>
        <v>0.21705787885947497</v>
      </c>
      <c r="R352" s="9">
        <f t="shared" si="55"/>
        <v>0.942022810732836</v>
      </c>
      <c r="S352" s="9">
        <f t="shared" si="56"/>
        <v>0.4712672033973665</v>
      </c>
      <c r="T352" s="9">
        <f t="shared" si="57"/>
        <v>1.6819660940714387</v>
      </c>
      <c r="U352" s="14">
        <f t="shared" si="58"/>
        <v>9.3833555254488235E-8</v>
      </c>
      <c r="W352" s="14">
        <f t="shared" si="59"/>
        <v>0.28394991505773648</v>
      </c>
      <c r="X352" s="16">
        <f t="shared" si="60"/>
        <v>1.8215493872263625E-2</v>
      </c>
    </row>
    <row r="353" spans="1:24" x14ac:dyDescent="0.3">
      <c r="A353" s="23">
        <v>1</v>
      </c>
      <c r="B353" s="23">
        <v>1</v>
      </c>
      <c r="C353" s="23">
        <v>1</v>
      </c>
      <c r="D353" s="23">
        <v>1</v>
      </c>
      <c r="E353" s="23">
        <v>1</v>
      </c>
      <c r="F353" s="23">
        <v>1</v>
      </c>
      <c r="G353" s="23">
        <v>2.0159186717545299</v>
      </c>
      <c r="N353" s="9">
        <f t="shared" si="51"/>
        <v>-1.6370662559218725</v>
      </c>
      <c r="O353" s="9">
        <f t="shared" si="52"/>
        <v>2.9926646587057641</v>
      </c>
      <c r="P353" s="9">
        <f t="shared" si="53"/>
        <v>-0.97127307072706737</v>
      </c>
      <c r="Q353" s="9">
        <f t="shared" si="54"/>
        <v>0.16286465302876404</v>
      </c>
      <c r="R353" s="9">
        <f t="shared" si="55"/>
        <v>0.95224163830501007</v>
      </c>
      <c r="S353" s="9">
        <f t="shared" si="56"/>
        <v>0.27462682494665941</v>
      </c>
      <c r="T353" s="9">
        <f t="shared" si="57"/>
        <v>1.9968894769640833</v>
      </c>
      <c r="U353" s="14">
        <f t="shared" si="58"/>
        <v>3.6211025437276093E-4</v>
      </c>
      <c r="W353" s="14">
        <f t="shared" si="59"/>
        <v>0.75191168057890101</v>
      </c>
      <c r="X353" s="16">
        <f t="shared" si="60"/>
        <v>0.94394655186584486</v>
      </c>
    </row>
    <row r="354" spans="1:24" x14ac:dyDescent="0.3">
      <c r="A354" s="23">
        <v>2</v>
      </c>
      <c r="B354" s="23">
        <v>0.99805795702633604</v>
      </c>
      <c r="C354" s="23">
        <v>0.99902850661346798</v>
      </c>
      <c r="D354" s="23">
        <v>0.99708835032170995</v>
      </c>
      <c r="E354" s="23">
        <v>0.90500000000000003</v>
      </c>
      <c r="F354" s="23">
        <v>1</v>
      </c>
      <c r="G354" s="23">
        <v>1.9100854209150999</v>
      </c>
      <c r="N354" s="9">
        <f t="shared" si="51"/>
        <v>-1.5775211513636402</v>
      </c>
      <c r="O354" s="9">
        <f t="shared" si="52"/>
        <v>2.8857693082961218</v>
      </c>
      <c r="P354" s="9">
        <f t="shared" si="53"/>
        <v>-0.92676853412774951</v>
      </c>
      <c r="Q354" s="9">
        <f t="shared" si="54"/>
        <v>0.17114683397706498</v>
      </c>
      <c r="R354" s="9">
        <f t="shared" si="55"/>
        <v>0.9471384629553844</v>
      </c>
      <c r="S354" s="9">
        <f t="shared" si="56"/>
        <v>0.28358076850791719</v>
      </c>
      <c r="T354" s="9">
        <f t="shared" si="57"/>
        <v>1.8983415321124113</v>
      </c>
      <c r="U354" s="14">
        <f t="shared" si="58"/>
        <v>1.3791892420991509E-4</v>
      </c>
      <c r="W354" s="14">
        <f t="shared" si="59"/>
        <v>0.57957032037076051</v>
      </c>
      <c r="X354" s="16">
        <f t="shared" si="60"/>
        <v>0.61483579080260486</v>
      </c>
    </row>
    <row r="355" spans="1:24" x14ac:dyDescent="0.3">
      <c r="A355" s="23">
        <v>3</v>
      </c>
      <c r="B355" s="23">
        <v>0.99152490614171696</v>
      </c>
      <c r="C355" s="23">
        <v>0.99575343641973801</v>
      </c>
      <c r="D355" s="23">
        <v>0.98731433258637302</v>
      </c>
      <c r="E355" s="23">
        <v>0.82</v>
      </c>
      <c r="F355" s="23">
        <v>1</v>
      </c>
      <c r="G355" s="23">
        <v>1.81003883589018</v>
      </c>
      <c r="N355" s="9">
        <f t="shared" si="51"/>
        <v>-1.5299534891903317</v>
      </c>
      <c r="O355" s="9">
        <f t="shared" si="52"/>
        <v>2.774595284897396</v>
      </c>
      <c r="P355" s="9">
        <f t="shared" si="53"/>
        <v>-0.90895198485114581</v>
      </c>
      <c r="Q355" s="9">
        <f t="shared" si="54"/>
        <v>0.1780004909746612</v>
      </c>
      <c r="R355" s="9">
        <f t="shared" si="55"/>
        <v>0.9412874622699291</v>
      </c>
      <c r="S355" s="9">
        <f t="shared" si="56"/>
        <v>0.28721434142655844</v>
      </c>
      <c r="T355" s="9">
        <f t="shared" si="57"/>
        <v>1.8033976712817394</v>
      </c>
      <c r="U355" s="14">
        <f t="shared" si="58"/>
        <v>4.4105067356403365E-5</v>
      </c>
      <c r="W355" s="14">
        <f t="shared" si="59"/>
        <v>0.43724967767321599</v>
      </c>
      <c r="X355" s="16">
        <f t="shared" si="60"/>
        <v>0.36690729926656063</v>
      </c>
    </row>
    <row r="356" spans="1:24" x14ac:dyDescent="0.3">
      <c r="A356" s="23">
        <v>4</v>
      </c>
      <c r="B356" s="23">
        <v>0.97911342554320102</v>
      </c>
      <c r="C356" s="23">
        <v>0.98950160461881098</v>
      </c>
      <c r="D356" s="23">
        <v>0.96883430567881701</v>
      </c>
      <c r="E356" s="23">
        <v>0.745</v>
      </c>
      <c r="F356" s="23">
        <v>1</v>
      </c>
      <c r="G356" s="23">
        <v>1.7149139162147</v>
      </c>
      <c r="N356" s="9">
        <f t="shared" si="51"/>
        <v>-1.4960645635445418</v>
      </c>
      <c r="O356" s="9">
        <f t="shared" si="52"/>
        <v>2.6551128527197161</v>
      </c>
      <c r="P356" s="9">
        <f t="shared" si="53"/>
        <v>-0.92331501263793736</v>
      </c>
      <c r="Q356" s="9">
        <f t="shared" si="54"/>
        <v>0.18301321392422459</v>
      </c>
      <c r="R356" s="9">
        <f t="shared" si="55"/>
        <v>0.93432542001101471</v>
      </c>
      <c r="S356" s="9">
        <f t="shared" si="56"/>
        <v>0.28428291941004291</v>
      </c>
      <c r="T356" s="9">
        <f t="shared" si="57"/>
        <v>1.7129321380548683</v>
      </c>
      <c r="U356" s="14">
        <f t="shared" si="58"/>
        <v>3.9274446747858915E-6</v>
      </c>
      <c r="W356" s="14">
        <f t="shared" si="59"/>
        <v>0.32049599288999236</v>
      </c>
      <c r="X356" s="16">
        <f t="shared" si="60"/>
        <v>0.11556137839303549</v>
      </c>
    </row>
    <row r="357" spans="1:24" x14ac:dyDescent="0.3">
      <c r="A357" s="23">
        <v>5</v>
      </c>
      <c r="B357" s="23">
        <v>0.95913394700955001</v>
      </c>
      <c r="C357" s="23">
        <v>0.97935384157593897</v>
      </c>
      <c r="D357" s="23">
        <v>0.93933151558969596</v>
      </c>
      <c r="E357" s="23">
        <v>0.68</v>
      </c>
      <c r="F357" s="23">
        <v>1</v>
      </c>
      <c r="G357" s="23">
        <v>1.62595632218502</v>
      </c>
      <c r="N357" s="9">
        <f t="shared" si="51"/>
        <v>-1.4783013782569618</v>
      </c>
      <c r="O357" s="9">
        <f t="shared" si="52"/>
        <v>2.5222071511958273</v>
      </c>
      <c r="P357" s="9">
        <f t="shared" si="53"/>
        <v>-0.97653500108184776</v>
      </c>
      <c r="Q357" s="9">
        <f t="shared" si="54"/>
        <v>0.18568412317629163</v>
      </c>
      <c r="R357" s="9">
        <f t="shared" si="55"/>
        <v>0.92568403434381574</v>
      </c>
      <c r="S357" s="9">
        <f t="shared" si="56"/>
        <v>0.27357985595853812</v>
      </c>
      <c r="T357" s="9">
        <f t="shared" si="57"/>
        <v>1.627951558312573</v>
      </c>
      <c r="U357" s="14">
        <f t="shared" si="58"/>
        <v>3.9809672046928311E-6</v>
      </c>
      <c r="W357" s="14">
        <f t="shared" si="59"/>
        <v>0.22768744985945463</v>
      </c>
      <c r="X357" s="16">
        <f t="shared" si="60"/>
        <v>0.1227115452198472</v>
      </c>
    </row>
    <row r="358" spans="1:24" x14ac:dyDescent="0.3">
      <c r="A358" s="23">
        <v>6</v>
      </c>
      <c r="B358" s="23">
        <v>0.92929286340991601</v>
      </c>
      <c r="C358" s="23">
        <v>0.96399837313655001</v>
      </c>
      <c r="D358" s="23">
        <v>0.89583680849456504</v>
      </c>
      <c r="E358" s="23">
        <v>0.625</v>
      </c>
      <c r="F358" s="23">
        <v>1</v>
      </c>
      <c r="G358" s="23">
        <v>1.54372360384407</v>
      </c>
      <c r="N358" s="9">
        <f t="shared" si="51"/>
        <v>-1.4803536523370102</v>
      </c>
      <c r="O358" s="9">
        <f t="shared" si="52"/>
        <v>2.3692213702078915</v>
      </c>
      <c r="P358" s="9">
        <f t="shared" si="53"/>
        <v>-1.0767647552487194</v>
      </c>
      <c r="Q358" s="9">
        <f t="shared" si="54"/>
        <v>0.18537400813955487</v>
      </c>
      <c r="R358" s="9">
        <f t="shared" si="55"/>
        <v>0.91444996705648574</v>
      </c>
      <c r="S358" s="9">
        <f t="shared" si="56"/>
        <v>0.25411874479294111</v>
      </c>
      <c r="T358" s="9">
        <f t="shared" si="57"/>
        <v>1.5498281888944732</v>
      </c>
      <c r="U358" s="14">
        <f t="shared" si="58"/>
        <v>3.7265958637605288E-5</v>
      </c>
      <c r="W358" s="14">
        <f t="shared" si="59"/>
        <v>0.15597234521767744</v>
      </c>
      <c r="X358" s="16">
        <f t="shared" si="60"/>
        <v>0.39544546933155139</v>
      </c>
    </row>
    <row r="359" spans="1:24" x14ac:dyDescent="0.3">
      <c r="A359" s="23">
        <v>7</v>
      </c>
      <c r="B359" s="23">
        <v>0.88629579591014296</v>
      </c>
      <c r="C359" s="23">
        <v>0.941432841954296</v>
      </c>
      <c r="D359" s="23">
        <v>0.83438796995583098</v>
      </c>
      <c r="E359" s="23">
        <v>0.57999999999999996</v>
      </c>
      <c r="F359" s="23">
        <v>1</v>
      </c>
      <c r="G359" s="23">
        <v>1.4701814421094199</v>
      </c>
      <c r="N359" s="9">
        <f t="shared" si="51"/>
        <v>-1.50815720762178</v>
      </c>
      <c r="O359" s="9">
        <f t="shared" si="52"/>
        <v>2.187057804616801</v>
      </c>
      <c r="P359" s="9">
        <f t="shared" si="53"/>
        <v>-1.2341303241584156</v>
      </c>
      <c r="Q359" s="9">
        <f t="shared" si="54"/>
        <v>0.18121205547456562</v>
      </c>
      <c r="R359" s="9">
        <f t="shared" si="55"/>
        <v>0.899081262129236</v>
      </c>
      <c r="S359" s="9">
        <f t="shared" si="56"/>
        <v>0.2254593400773604</v>
      </c>
      <c r="T359" s="9">
        <f t="shared" si="57"/>
        <v>1.4806156583905281</v>
      </c>
      <c r="U359" s="14">
        <f t="shared" si="58"/>
        <v>1.0887286940094319E-4</v>
      </c>
      <c r="W359" s="14">
        <f t="shared" si="59"/>
        <v>0.10329229123605957</v>
      </c>
      <c r="X359" s="16">
        <f t="shared" si="60"/>
        <v>0.70972303024973227</v>
      </c>
    </row>
    <row r="360" spans="1:24" x14ac:dyDescent="0.3">
      <c r="A360" s="23">
        <v>8</v>
      </c>
      <c r="B360" s="23">
        <v>0.82493648944805298</v>
      </c>
      <c r="C360" s="23">
        <v>0.90826014414816902</v>
      </c>
      <c r="D360" s="23">
        <v>0.74925693481917399</v>
      </c>
      <c r="E360" s="23">
        <v>0.54500000000000004</v>
      </c>
      <c r="F360" s="23">
        <v>1</v>
      </c>
      <c r="G360" s="23">
        <v>1.4068355720740799</v>
      </c>
      <c r="N360" s="9">
        <f t="shared" si="51"/>
        <v>-1.5722251255503688</v>
      </c>
      <c r="O360" s="9">
        <f t="shared" si="52"/>
        <v>1.9620699910938517</v>
      </c>
      <c r="P360" s="9">
        <f t="shared" si="53"/>
        <v>-1.4617929900544731</v>
      </c>
      <c r="Q360" s="9">
        <f t="shared" si="54"/>
        <v>0.17189941381618962</v>
      </c>
      <c r="R360" s="9">
        <f t="shared" si="55"/>
        <v>0.87675679839797116</v>
      </c>
      <c r="S360" s="9">
        <f t="shared" si="56"/>
        <v>0.18819324522778771</v>
      </c>
      <c r="T360" s="9">
        <f t="shared" si="57"/>
        <v>1.4231480391230718</v>
      </c>
      <c r="U360" s="14">
        <f t="shared" si="58"/>
        <v>2.6609658122444347E-4</v>
      </c>
      <c r="W360" s="14">
        <f t="shared" si="59"/>
        <v>6.6587382520069252E-2</v>
      </c>
      <c r="X360" s="16">
        <f t="shared" si="60"/>
        <v>1.1595148269490045</v>
      </c>
    </row>
    <row r="361" spans="1:24" x14ac:dyDescent="0.3">
      <c r="A361" s="23">
        <v>9</v>
      </c>
      <c r="B361" s="23">
        <v>0.73549094564436901</v>
      </c>
      <c r="C361" s="23">
        <v>0.85760768749141303</v>
      </c>
      <c r="D361" s="23">
        <v>0.63076268906494104</v>
      </c>
      <c r="E361" s="23">
        <v>0.52</v>
      </c>
      <c r="F361" s="23">
        <v>1</v>
      </c>
      <c r="G361" s="23">
        <v>1.3566822715236</v>
      </c>
      <c r="N361" s="9">
        <f t="shared" si="51"/>
        <v>-1.69438815376809</v>
      </c>
      <c r="O361" s="9">
        <f t="shared" si="52"/>
        <v>1.669861729456281</v>
      </c>
      <c r="P361" s="9">
        <f t="shared" si="53"/>
        <v>-1.7787533423186006</v>
      </c>
      <c r="Q361" s="9">
        <f t="shared" si="54"/>
        <v>0.15519962651655023</v>
      </c>
      <c r="R361" s="9">
        <f t="shared" si="55"/>
        <v>0.84155738523158707</v>
      </c>
      <c r="S361" s="9">
        <f t="shared" si="56"/>
        <v>0.14445713932730597</v>
      </c>
      <c r="T361" s="9">
        <f t="shared" si="57"/>
        <v>1.3794860707742882</v>
      </c>
      <c r="U361" s="14">
        <f t="shared" si="58"/>
        <v>5.2001326026568796E-4</v>
      </c>
      <c r="W361" s="14">
        <f t="shared" si="59"/>
        <v>4.3219088001478508E-2</v>
      </c>
      <c r="X361" s="16">
        <f t="shared" si="60"/>
        <v>1.6808503899058671</v>
      </c>
    </row>
    <row r="362" spans="1:24" x14ac:dyDescent="0.3">
      <c r="A362" s="23">
        <v>10</v>
      </c>
      <c r="B362" s="23">
        <v>0.592782777626775</v>
      </c>
      <c r="C362" s="23">
        <v>0.769923877813109</v>
      </c>
      <c r="D362" s="23">
        <v>0.45639761485123198</v>
      </c>
      <c r="E362" s="23">
        <v>0.505</v>
      </c>
      <c r="F362" s="23">
        <v>1</v>
      </c>
      <c r="G362" s="23">
        <v>1.3288830777635201</v>
      </c>
      <c r="N362" s="9">
        <f t="shared" si="51"/>
        <v>-1.9368662959268768</v>
      </c>
      <c r="O362" s="9">
        <f t="shared" si="52"/>
        <v>1.2484588571620907</v>
      </c>
      <c r="P362" s="9">
        <f t="shared" si="53"/>
        <v>-2.2193403464030186</v>
      </c>
      <c r="Q362" s="9">
        <f t="shared" si="54"/>
        <v>0.12599253078439154</v>
      </c>
      <c r="R362" s="9">
        <f t="shared" si="55"/>
        <v>0.77703296796570165</v>
      </c>
      <c r="S362" s="9">
        <f t="shared" si="56"/>
        <v>9.8027113952954867E-2</v>
      </c>
      <c r="T362" s="9">
        <f t="shared" si="57"/>
        <v>1.339764044014538</v>
      </c>
      <c r="U362" s="14">
        <f t="shared" si="58"/>
        <v>1.1839542655578977E-4</v>
      </c>
      <c r="W362" s="14">
        <f t="shared" si="59"/>
        <v>3.2433422616842907E-2</v>
      </c>
      <c r="X362" s="16">
        <f t="shared" si="60"/>
        <v>0.81880538875777409</v>
      </c>
    </row>
    <row r="363" spans="1:24" x14ac:dyDescent="0.3">
      <c r="A363" s="23">
        <v>11</v>
      </c>
      <c r="B363" s="23">
        <v>0.99798365800029598</v>
      </c>
      <c r="C363" s="23">
        <v>0.99899132028276205</v>
      </c>
      <c r="D363" s="23">
        <v>0.99697701212633705</v>
      </c>
      <c r="E363" s="23">
        <v>0.81</v>
      </c>
      <c r="F363" s="23">
        <v>1</v>
      </c>
      <c r="G363" s="23">
        <v>1.8034656993003799</v>
      </c>
      <c r="N363" s="9">
        <f t="shared" si="51"/>
        <v>-1.5157692372882881</v>
      </c>
      <c r="O363" s="9">
        <f t="shared" si="52"/>
        <v>2.7849371192602295</v>
      </c>
      <c r="P363" s="9">
        <f t="shared" si="53"/>
        <v>-0.87365223967794059</v>
      </c>
      <c r="Q363" s="9">
        <f t="shared" si="54"/>
        <v>0.18008536580074441</v>
      </c>
      <c r="R363" s="9">
        <f t="shared" si="55"/>
        <v>0.94185640605876664</v>
      </c>
      <c r="S363" s="9">
        <f t="shared" si="56"/>
        <v>0.29449491559297031</v>
      </c>
      <c r="T363" s="9">
        <f t="shared" si="57"/>
        <v>1.7950411024126849</v>
      </c>
      <c r="U363" s="14">
        <f t="shared" si="58"/>
        <v>7.0973832720160865E-5</v>
      </c>
      <c r="W363" s="14">
        <f t="shared" si="59"/>
        <v>0.42859992939392011</v>
      </c>
      <c r="X363" s="16">
        <f t="shared" si="60"/>
        <v>0.46713374648396122</v>
      </c>
    </row>
    <row r="364" spans="1:24" x14ac:dyDescent="0.3">
      <c r="A364" s="23">
        <v>12</v>
      </c>
      <c r="B364" s="23">
        <v>0.99082969587065495</v>
      </c>
      <c r="C364" s="23">
        <v>0.99540428764932198</v>
      </c>
      <c r="D364" s="23">
        <v>0.986276127599925</v>
      </c>
      <c r="E364" s="23">
        <v>0.64</v>
      </c>
      <c r="F364" s="23">
        <v>1</v>
      </c>
      <c r="G364" s="23">
        <v>1.5965704660292901</v>
      </c>
      <c r="N364" s="9">
        <f t="shared" si="51"/>
        <v>-1.4136132943309729</v>
      </c>
      <c r="O364" s="9">
        <f t="shared" si="52"/>
        <v>2.5817519540604765</v>
      </c>
      <c r="P364" s="9">
        <f t="shared" si="53"/>
        <v>-0.81084636728995207</v>
      </c>
      <c r="Q364" s="9">
        <f t="shared" si="54"/>
        <v>0.19566477046060679</v>
      </c>
      <c r="R364" s="9">
        <f t="shared" si="55"/>
        <v>0.92967789270409473</v>
      </c>
      <c r="S364" s="9">
        <f t="shared" si="56"/>
        <v>0.3077101692900725</v>
      </c>
      <c r="T364" s="9">
        <f t="shared" si="57"/>
        <v>1.5923360345107938</v>
      </c>
      <c r="U364" s="14">
        <f t="shared" si="58"/>
        <v>1.7930410284835219E-5</v>
      </c>
      <c r="W364" s="14">
        <f t="shared" si="59"/>
        <v>0.20050711193408222</v>
      </c>
      <c r="X364" s="16">
        <f t="shared" si="60"/>
        <v>0.26522045901472013</v>
      </c>
    </row>
    <row r="365" spans="1:24" x14ac:dyDescent="0.3">
      <c r="A365" s="23">
        <v>13</v>
      </c>
      <c r="B365" s="23">
        <v>0.976358383123614</v>
      </c>
      <c r="C365" s="23">
        <v>0.98810848752736302</v>
      </c>
      <c r="D365" s="23">
        <v>0.96474800523293602</v>
      </c>
      <c r="E365" s="23">
        <v>0.49</v>
      </c>
      <c r="F365" s="23">
        <v>1</v>
      </c>
      <c r="G365" s="23">
        <v>1.3949308178514801</v>
      </c>
      <c r="N365" s="9">
        <f t="shared" si="51"/>
        <v>-1.3334209012127189</v>
      </c>
      <c r="O365" s="9">
        <f t="shared" si="52"/>
        <v>2.3762381390701925</v>
      </c>
      <c r="P365" s="9">
        <f t="shared" si="53"/>
        <v>-0.7922962515371198</v>
      </c>
      <c r="Q365" s="9">
        <f t="shared" si="54"/>
        <v>0.20859407102530789</v>
      </c>
      <c r="R365" s="9">
        <f t="shared" si="55"/>
        <v>0.91499730352411845</v>
      </c>
      <c r="S365" s="9">
        <f t="shared" si="56"/>
        <v>0.31167583246601099</v>
      </c>
      <c r="T365" s="9">
        <f t="shared" si="57"/>
        <v>1.3924420920847664</v>
      </c>
      <c r="U365" s="14">
        <f t="shared" si="58"/>
        <v>6.193755941904505E-6</v>
      </c>
      <c r="W365" s="14">
        <f t="shared" si="59"/>
        <v>6.0585173682087101E-2</v>
      </c>
      <c r="X365" s="16">
        <f t="shared" si="60"/>
        <v>0.17841212874964524</v>
      </c>
    </row>
    <row r="366" spans="1:24" x14ac:dyDescent="0.3">
      <c r="A366" s="23">
        <v>14</v>
      </c>
      <c r="B366" s="23">
        <v>0.95144310139704402</v>
      </c>
      <c r="C366" s="23">
        <v>0.97541944895365096</v>
      </c>
      <c r="D366" s="23">
        <v>0.92805610567545704</v>
      </c>
      <c r="E366" s="23">
        <v>0.36</v>
      </c>
      <c r="F366" s="23">
        <v>1</v>
      </c>
      <c r="G366" s="23">
        <v>1.1994290275467001</v>
      </c>
      <c r="N366" s="9">
        <f t="shared" si="51"/>
        <v>-1.2796178490614536</v>
      </c>
      <c r="O366" s="9">
        <f t="shared" si="52"/>
        <v>2.1588448727836109</v>
      </c>
      <c r="P366" s="9">
        <f t="shared" si="53"/>
        <v>-0.83061141781016701</v>
      </c>
      <c r="Q366" s="9">
        <f t="shared" si="54"/>
        <v>0.21761528114267936</v>
      </c>
      <c r="R366" s="9">
        <f t="shared" si="55"/>
        <v>0.89649240901470939</v>
      </c>
      <c r="S366" s="9">
        <f t="shared" si="56"/>
        <v>0.30351580461831668</v>
      </c>
      <c r="T366" s="9">
        <f t="shared" si="57"/>
        <v>1.1986045478165073</v>
      </c>
      <c r="U366" s="14">
        <f t="shared" si="58"/>
        <v>6.7976682549885781E-7</v>
      </c>
      <c r="W366" s="14">
        <f t="shared" si="59"/>
        <v>2.564284668098975E-3</v>
      </c>
      <c r="X366" s="16">
        <f t="shared" si="60"/>
        <v>6.8739351079339983E-2</v>
      </c>
    </row>
    <row r="367" spans="1:24" x14ac:dyDescent="0.3">
      <c r="A367" s="23">
        <v>15</v>
      </c>
      <c r="B367" s="23">
        <v>0.91157954485698101</v>
      </c>
      <c r="C367" s="23">
        <v>0.95476674892718205</v>
      </c>
      <c r="D367" s="23">
        <v>0.87034583843162105</v>
      </c>
      <c r="E367" s="23">
        <v>0.25</v>
      </c>
      <c r="F367" s="23">
        <v>1</v>
      </c>
      <c r="G367" s="23">
        <v>1.0128043109456999</v>
      </c>
      <c r="N367" s="9">
        <f t="shared" si="51"/>
        <v>-1.2594020246700177</v>
      </c>
      <c r="O367" s="9">
        <f t="shared" si="52"/>
        <v>1.9164502929281222</v>
      </c>
      <c r="P367" s="9">
        <f t="shared" si="53"/>
        <v>-0.94191959087894317</v>
      </c>
      <c r="Q367" s="9">
        <f t="shared" si="54"/>
        <v>0.22107684751832435</v>
      </c>
      <c r="R367" s="9">
        <f t="shared" si="55"/>
        <v>0.87174207207475407</v>
      </c>
      <c r="S367" s="9">
        <f t="shared" si="56"/>
        <v>0.28051275730142655</v>
      </c>
      <c r="T367" s="9">
        <f t="shared" si="57"/>
        <v>1.013820768651251</v>
      </c>
      <c r="U367" s="14">
        <f t="shared" si="58"/>
        <v>1.0331862671742954E-6</v>
      </c>
      <c r="W367" s="14">
        <f t="shared" si="59"/>
        <v>1.8492178637070332E-2</v>
      </c>
      <c r="X367" s="16">
        <f t="shared" si="60"/>
        <v>0.1003607206807831</v>
      </c>
    </row>
    <row r="368" spans="1:24" x14ac:dyDescent="0.3">
      <c r="A368" s="23">
        <v>16</v>
      </c>
      <c r="B368" s="23">
        <v>0.85026083486688397</v>
      </c>
      <c r="C368" s="23">
        <v>0.92209589244659595</v>
      </c>
      <c r="D368" s="23">
        <v>0.78402202333896698</v>
      </c>
      <c r="E368" s="23">
        <v>0.16</v>
      </c>
      <c r="F368" s="23">
        <v>1</v>
      </c>
      <c r="G368" s="23">
        <v>0.83770002807980803</v>
      </c>
      <c r="N368" s="9">
        <f t="shared" si="51"/>
        <v>-1.2849868396018542</v>
      </c>
      <c r="O368" s="9">
        <f t="shared" si="52"/>
        <v>1.6314051786012229</v>
      </c>
      <c r="P368" s="9">
        <f t="shared" si="53"/>
        <v>-1.1449944686059126</v>
      </c>
      <c r="Q368" s="9">
        <f t="shared" si="54"/>
        <v>0.2167025488822259</v>
      </c>
      <c r="R368" s="9">
        <f t="shared" si="55"/>
        <v>0.83636204323727159</v>
      </c>
      <c r="S368" s="9">
        <f t="shared" si="56"/>
        <v>0.24140455107493078</v>
      </c>
      <c r="T368" s="9">
        <f t="shared" si="57"/>
        <v>0.841719969672862</v>
      </c>
      <c r="U368" s="14">
        <f t="shared" si="58"/>
        <v>1.6159930411565258E-5</v>
      </c>
      <c r="W368" s="14">
        <f t="shared" si="59"/>
        <v>9.6777133075301516E-2</v>
      </c>
      <c r="X368" s="16">
        <f t="shared" si="60"/>
        <v>0.47987841211710985</v>
      </c>
    </row>
    <row r="369" spans="1:24" x14ac:dyDescent="0.3">
      <c r="A369" s="23">
        <v>17</v>
      </c>
      <c r="B369" s="23">
        <v>0.758040166935394</v>
      </c>
      <c r="C369" s="23">
        <v>0.87065502177119103</v>
      </c>
      <c r="D369" s="23">
        <v>0.65999147804657299</v>
      </c>
      <c r="E369" s="23">
        <v>0.09</v>
      </c>
      <c r="F369" s="23">
        <v>1</v>
      </c>
      <c r="G369" s="23">
        <v>0.67875101942583804</v>
      </c>
      <c r="N369" s="9">
        <f t="shared" si="51"/>
        <v>-1.3782169848484342</v>
      </c>
      <c r="O369" s="9">
        <f t="shared" si="52"/>
        <v>1.2806550467012163</v>
      </c>
      <c r="P369" s="9">
        <f t="shared" si="53"/>
        <v>-1.4567524115830359</v>
      </c>
      <c r="Q369" s="9">
        <f t="shared" si="54"/>
        <v>0.20129551246222513</v>
      </c>
      <c r="R369" s="9">
        <f t="shared" si="55"/>
        <v>0.78256125923349085</v>
      </c>
      <c r="S369" s="9">
        <f t="shared" si="56"/>
        <v>0.18896453800228533</v>
      </c>
      <c r="T369" s="9">
        <f t="shared" si="57"/>
        <v>0.68772894250098904</v>
      </c>
      <c r="U369" s="14">
        <f t="shared" si="58"/>
        <v>8.0603102743328697E-5</v>
      </c>
      <c r="W369" s="14">
        <f t="shared" si="59"/>
        <v>0.22093688870567998</v>
      </c>
      <c r="X369" s="16">
        <f t="shared" si="60"/>
        <v>1.3227122786121936</v>
      </c>
    </row>
    <row r="370" spans="1:24" x14ac:dyDescent="0.3">
      <c r="A370" s="23">
        <v>18</v>
      </c>
      <c r="B370" s="23">
        <v>0.62081341767015497</v>
      </c>
      <c r="C370" s="23">
        <v>0.78791713883514103</v>
      </c>
      <c r="D370" s="23">
        <v>0.48914953180113402</v>
      </c>
      <c r="E370" s="23">
        <v>0.04</v>
      </c>
      <c r="F370" s="23">
        <v>1</v>
      </c>
      <c r="G370" s="23">
        <v>0.54402635188939796</v>
      </c>
      <c r="N370" s="9">
        <f t="shared" si="51"/>
        <v>-1.5814053192360371</v>
      </c>
      <c r="O370" s="9">
        <f t="shared" si="52"/>
        <v>0.8341174067262378</v>
      </c>
      <c r="P370" s="9">
        <f t="shared" si="53"/>
        <v>-1.8776756115132165</v>
      </c>
      <c r="Q370" s="9">
        <f t="shared" si="54"/>
        <v>0.170596546617067</v>
      </c>
      <c r="R370" s="9">
        <f t="shared" si="55"/>
        <v>0.69722482930556207</v>
      </c>
      <c r="S370" s="9">
        <f t="shared" si="56"/>
        <v>0.13265608579604349</v>
      </c>
      <c r="T370" s="9">
        <f t="shared" si="57"/>
        <v>0.55658614762143721</v>
      </c>
      <c r="U370" s="14">
        <f t="shared" si="58"/>
        <v>1.5774846883055129E-4</v>
      </c>
      <c r="W370" s="14">
        <f t="shared" si="59"/>
        <v>0.36573938587347193</v>
      </c>
      <c r="X370" s="16">
        <f t="shared" si="60"/>
        <v>2.3086741457319491</v>
      </c>
    </row>
    <row r="371" spans="1:24" x14ac:dyDescent="0.3">
      <c r="A371" s="23">
        <v>19</v>
      </c>
      <c r="B371" s="23">
        <v>0.41411550520763202</v>
      </c>
      <c r="C371" s="23">
        <v>0.64351806906071596</v>
      </c>
      <c r="D371" s="23">
        <v>0.26649081027931798</v>
      </c>
      <c r="E371" s="23">
        <v>0.01</v>
      </c>
      <c r="F371" s="23">
        <v>1</v>
      </c>
      <c r="G371" s="23">
        <v>0.45096765471009898</v>
      </c>
      <c r="N371" s="9">
        <f t="shared" si="51"/>
        <v>-1.9924963855090441</v>
      </c>
      <c r="O371" s="9">
        <f t="shared" si="52"/>
        <v>0.24023591572470759</v>
      </c>
      <c r="P371" s="9">
        <f t="shared" si="53"/>
        <v>-2.3435283975160548</v>
      </c>
      <c r="Q371" s="9">
        <f t="shared" si="54"/>
        <v>0.11999300725749802</v>
      </c>
      <c r="R371" s="9">
        <f t="shared" si="55"/>
        <v>0.55977178616970669</v>
      </c>
      <c r="S371" s="9">
        <f t="shared" si="56"/>
        <v>8.7581546385034875E-2</v>
      </c>
      <c r="T371" s="9">
        <f t="shared" si="57"/>
        <v>0.43340854612902213</v>
      </c>
      <c r="U371" s="14">
        <f t="shared" si="58"/>
        <v>3.0832229416204643E-4</v>
      </c>
      <c r="W371" s="14">
        <f t="shared" si="59"/>
        <v>0.48695638997700519</v>
      </c>
      <c r="X371" s="16">
        <f t="shared" si="60"/>
        <v>3.8936514398941933</v>
      </c>
    </row>
    <row r="372" spans="1:24" x14ac:dyDescent="0.3">
      <c r="A372" s="23">
        <v>20</v>
      </c>
      <c r="B372" s="23">
        <v>0.60462132125511903</v>
      </c>
      <c r="C372" s="23">
        <v>0.77757399728586496</v>
      </c>
      <c r="D372" s="23">
        <v>0.47013781761260398</v>
      </c>
      <c r="E372" s="23">
        <v>0.13</v>
      </c>
      <c r="F372" s="23">
        <v>1</v>
      </c>
      <c r="G372" s="23">
        <v>0.75419176700088097</v>
      </c>
      <c r="N372" s="9">
        <f t="shared" si="51"/>
        <v>-1.6702737407960573</v>
      </c>
      <c r="O372" s="9">
        <f t="shared" si="52"/>
        <v>0.88425365389900068</v>
      </c>
      <c r="P372" s="9">
        <f t="shared" si="53"/>
        <v>-1.9750447400260636</v>
      </c>
      <c r="Q372" s="9">
        <f t="shared" si="54"/>
        <v>0.15838768550344112</v>
      </c>
      <c r="R372" s="9">
        <f t="shared" si="55"/>
        <v>0.70770290657779644</v>
      </c>
      <c r="S372" s="9">
        <f t="shared" si="56"/>
        <v>0.1218480634560451</v>
      </c>
      <c r="T372" s="9">
        <f t="shared" si="57"/>
        <v>0.71879715087694029</v>
      </c>
      <c r="U372" s="14">
        <f t="shared" si="58"/>
        <v>1.2527788505611217E-3</v>
      </c>
      <c r="W372" s="14">
        <f t="shared" si="59"/>
        <v>0.15570797153862578</v>
      </c>
      <c r="X372" s="16">
        <f t="shared" si="60"/>
        <v>4.6930525726488526</v>
      </c>
    </row>
    <row r="373" spans="1:24" x14ac:dyDescent="0.3">
      <c r="A373" s="23">
        <v>21</v>
      </c>
      <c r="B373" s="23">
        <v>0.53604508929966299</v>
      </c>
      <c r="C373" s="23">
        <v>0.73215100170638503</v>
      </c>
      <c r="D373" s="23">
        <v>0.392465949090537</v>
      </c>
      <c r="E373" s="23">
        <v>3.6249999999999998E-2</v>
      </c>
      <c r="F373" s="23">
        <v>1</v>
      </c>
      <c r="G373" s="23">
        <v>0.53203210967973402</v>
      </c>
      <c r="N373" s="9">
        <f t="shared" si="51"/>
        <v>-1.7437009892066784</v>
      </c>
      <c r="O373" s="9">
        <f t="shared" si="52"/>
        <v>0.59626475225247755</v>
      </c>
      <c r="P373" s="9">
        <f t="shared" si="53"/>
        <v>-2.1042881974831333</v>
      </c>
      <c r="Q373" s="9">
        <f t="shared" si="54"/>
        <v>0.14884345000411089</v>
      </c>
      <c r="R373" s="9">
        <f t="shared" si="55"/>
        <v>0.64480127621140826</v>
      </c>
      <c r="S373" s="9">
        <f t="shared" si="56"/>
        <v>0.10868072922722181</v>
      </c>
      <c r="T373" s="9">
        <f t="shared" si="57"/>
        <v>0.52532820561014149</v>
      </c>
      <c r="U373" s="14">
        <f t="shared" si="58"/>
        <v>4.4942329774299378E-5</v>
      </c>
      <c r="W373" s="14">
        <f t="shared" si="59"/>
        <v>0.38039061733292373</v>
      </c>
      <c r="X373" s="16">
        <f t="shared" si="60"/>
        <v>1.26005629126935</v>
      </c>
    </row>
    <row r="374" spans="1:24" x14ac:dyDescent="0.3">
      <c r="A374" s="23">
        <v>22</v>
      </c>
      <c r="B374" s="23">
        <v>0.482056160699321</v>
      </c>
      <c r="C374" s="23">
        <v>0.69430264344831705</v>
      </c>
      <c r="D374" s="23">
        <v>0.33469286666408499</v>
      </c>
      <c r="E374" s="23">
        <v>1.8888888888889E-2</v>
      </c>
      <c r="F374" s="23">
        <v>1</v>
      </c>
      <c r="G374" s="23">
        <v>0.47915942957538699</v>
      </c>
      <c r="N374" s="9">
        <f t="shared" si="51"/>
        <v>-1.8456778569552141</v>
      </c>
      <c r="O374" s="9">
        <f t="shared" si="52"/>
        <v>0.43171577726520871</v>
      </c>
      <c r="P374" s="9">
        <f t="shared" si="53"/>
        <v>-2.2186288045077704</v>
      </c>
      <c r="Q374" s="9">
        <f t="shared" si="54"/>
        <v>0.13638116522955668</v>
      </c>
      <c r="R374" s="9">
        <f t="shared" si="55"/>
        <v>0.60628330568636724</v>
      </c>
      <c r="S374" s="9">
        <f t="shared" si="56"/>
        <v>9.809004491803984E-2</v>
      </c>
      <c r="T374" s="9">
        <f t="shared" si="57"/>
        <v>0.47532191440581706</v>
      </c>
      <c r="U374" s="14">
        <f t="shared" si="58"/>
        <v>1.4726522676679308E-5</v>
      </c>
      <c r="W374" s="14">
        <f t="shared" si="59"/>
        <v>0.4484054505170314</v>
      </c>
      <c r="X374" s="16">
        <f t="shared" si="60"/>
        <v>0.80088482720053911</v>
      </c>
    </row>
    <row r="375" spans="1:24" x14ac:dyDescent="0.3">
      <c r="A375" s="23">
        <v>23</v>
      </c>
      <c r="B375" s="23">
        <v>0.44329834371454502</v>
      </c>
      <c r="C375" s="23">
        <v>0.66580653625099295</v>
      </c>
      <c r="D375" s="23">
        <v>0.29515093475438398</v>
      </c>
      <c r="E375" s="23">
        <v>1.2812499999999999E-2</v>
      </c>
      <c r="F375" s="23">
        <v>1</v>
      </c>
      <c r="G375" s="23">
        <v>0.459576654418347</v>
      </c>
      <c r="N375" s="9">
        <f t="shared" si="51"/>
        <v>-1.9273473267044019</v>
      </c>
      <c r="O375" s="9">
        <f t="shared" si="52"/>
        <v>0.3212608252653264</v>
      </c>
      <c r="P375" s="9">
        <f t="shared" si="53"/>
        <v>-2.2930791769828298</v>
      </c>
      <c r="Q375" s="9">
        <f t="shared" si="54"/>
        <v>0.12704448174473709</v>
      </c>
      <c r="R375" s="9">
        <f t="shared" si="55"/>
        <v>0.57963149415842974</v>
      </c>
      <c r="S375" s="9">
        <f t="shared" si="56"/>
        <v>9.1697764846161628E-2</v>
      </c>
      <c r="T375" s="9">
        <f t="shared" si="57"/>
        <v>0.45009992596058368</v>
      </c>
      <c r="U375" s="14">
        <f t="shared" si="58"/>
        <v>8.9808382262181102E-5</v>
      </c>
      <c r="W375" s="14">
        <f t="shared" si="59"/>
        <v>0.47501539562348805</v>
      </c>
      <c r="X375" s="16">
        <f t="shared" si="60"/>
        <v>2.0620561046029042</v>
      </c>
    </row>
    <row r="376" spans="1:24" x14ac:dyDescent="0.3">
      <c r="A376" s="23">
        <v>24</v>
      </c>
      <c r="B376" s="23">
        <v>0.75641498946707797</v>
      </c>
      <c r="C376" s="23">
        <v>0.86972121364669397</v>
      </c>
      <c r="D376" s="23">
        <v>0.65787016265985798</v>
      </c>
      <c r="E376" s="23">
        <v>0.24222222222222201</v>
      </c>
      <c r="F376" s="23">
        <v>1</v>
      </c>
      <c r="G376" s="23">
        <v>0.96779069106139204</v>
      </c>
      <c r="N376" s="9">
        <f t="shared" si="51"/>
        <v>-1.4798877316071095</v>
      </c>
      <c r="O376" s="9">
        <f t="shared" si="52"/>
        <v>1.4370523592007218</v>
      </c>
      <c r="P376" s="9">
        <f t="shared" si="53"/>
        <v>-1.5482578230585342</v>
      </c>
      <c r="Q376" s="9">
        <f t="shared" si="54"/>
        <v>0.18544437736926997</v>
      </c>
      <c r="R376" s="9">
        <f t="shared" si="55"/>
        <v>0.80799777731132816</v>
      </c>
      <c r="S376" s="9">
        <f t="shared" si="56"/>
        <v>0.17533803508916609</v>
      </c>
      <c r="T376" s="9">
        <f t="shared" si="57"/>
        <v>0.95101172591369132</v>
      </c>
      <c r="U376" s="14">
        <f t="shared" si="58"/>
        <v>2.8153367142775545E-4</v>
      </c>
      <c r="W376" s="14">
        <f t="shared" si="59"/>
        <v>3.2760844351102991E-2</v>
      </c>
      <c r="X376" s="16">
        <f t="shared" si="60"/>
        <v>1.7337390514987234</v>
      </c>
    </row>
    <row r="377" spans="1:24" x14ac:dyDescent="0.3">
      <c r="A377" s="23">
        <v>25</v>
      </c>
      <c r="B377" s="23">
        <v>0.84330333318766404</v>
      </c>
      <c r="C377" s="23">
        <v>0.91831548674062102</v>
      </c>
      <c r="D377" s="23">
        <v>0.77441851088621805</v>
      </c>
      <c r="E377" s="23">
        <v>0.32624999999999998</v>
      </c>
      <c r="F377" s="23">
        <v>1</v>
      </c>
      <c r="G377" s="23">
        <v>1.1145543208911799</v>
      </c>
      <c r="N377" s="9">
        <f t="shared" si="51"/>
        <v>-1.4031583839420856</v>
      </c>
      <c r="O377" s="9">
        <f t="shared" si="52"/>
        <v>1.7862076436225414</v>
      </c>
      <c r="P377" s="9">
        <f t="shared" si="53"/>
        <v>-1.2663364639370918</v>
      </c>
      <c r="Q377" s="9">
        <f t="shared" si="54"/>
        <v>0.19731540190910485</v>
      </c>
      <c r="R377" s="9">
        <f t="shared" si="55"/>
        <v>0.85646169290325069</v>
      </c>
      <c r="S377" s="9">
        <f t="shared" si="56"/>
        <v>0.21988503402687706</v>
      </c>
      <c r="T377" s="9">
        <f t="shared" si="57"/>
        <v>1.1073189098372755</v>
      </c>
      <c r="U377" s="14">
        <f t="shared" si="58"/>
        <v>5.2351173118961265E-5</v>
      </c>
      <c r="W377" s="14">
        <f t="shared" si="59"/>
        <v>1.1720996014034943E-3</v>
      </c>
      <c r="X377" s="16">
        <f t="shared" si="60"/>
        <v>0.64917527286772625</v>
      </c>
    </row>
    <row r="378" spans="1:24" x14ac:dyDescent="0.3">
      <c r="A378" s="23">
        <v>26</v>
      </c>
      <c r="B378" s="23">
        <v>0.82722243711388799</v>
      </c>
      <c r="C378" s="23">
        <v>0.90951769477778099</v>
      </c>
      <c r="D378" s="23">
        <v>0.75237344407228102</v>
      </c>
      <c r="E378" s="23">
        <v>0.17</v>
      </c>
      <c r="F378" s="23">
        <v>1</v>
      </c>
      <c r="G378" s="23">
        <v>0.85211504337769195</v>
      </c>
      <c r="N378" s="9">
        <f t="shared" si="51"/>
        <v>-1.3247690465494948</v>
      </c>
      <c r="O378" s="9">
        <f t="shared" si="52"/>
        <v>1.5719173948590697</v>
      </c>
      <c r="P378" s="9">
        <f t="shared" si="53"/>
        <v>-1.2418456540556275</v>
      </c>
      <c r="Q378" s="9">
        <f t="shared" si="54"/>
        <v>0.21002594265976493</v>
      </c>
      <c r="R378" s="9">
        <f t="shared" si="55"/>
        <v>0.82805677629526819</v>
      </c>
      <c r="S378" s="9">
        <f t="shared" si="56"/>
        <v>0.22411488632944454</v>
      </c>
      <c r="T378" s="9">
        <f t="shared" si="57"/>
        <v>0.8499384715614956</v>
      </c>
      <c r="U378" s="14">
        <f t="shared" si="58"/>
        <v>4.7374648710602724E-6</v>
      </c>
      <c r="W378" s="14">
        <f t="shared" si="59"/>
        <v>8.8016184805566597E-2</v>
      </c>
      <c r="X378" s="16">
        <f t="shared" si="60"/>
        <v>0.25543168532369215</v>
      </c>
    </row>
    <row r="379" spans="1:24" x14ac:dyDescent="0.3">
      <c r="A379" s="23">
        <v>27</v>
      </c>
      <c r="B379" s="23">
        <v>0.79294453563825096</v>
      </c>
      <c r="C379" s="23">
        <v>0.89047433182447799</v>
      </c>
      <c r="D379" s="23">
        <v>0.70609675554634299</v>
      </c>
      <c r="E379" s="23">
        <v>0.1153125</v>
      </c>
      <c r="F379" s="23">
        <v>1</v>
      </c>
      <c r="G379" s="23">
        <v>0.73839890122321195</v>
      </c>
      <c r="N379" s="9">
        <f t="shared" si="51"/>
        <v>-1.340388171400499</v>
      </c>
      <c r="O379" s="9">
        <f t="shared" si="52"/>
        <v>1.4109511201724192</v>
      </c>
      <c r="P379" s="9">
        <f t="shared" si="53"/>
        <v>-1.342525794477911</v>
      </c>
      <c r="Q379" s="9">
        <f t="shared" si="54"/>
        <v>0.20744623116235714</v>
      </c>
      <c r="R379" s="9">
        <f t="shared" si="55"/>
        <v>0.80391591691245812</v>
      </c>
      <c r="S379" s="9">
        <f t="shared" si="56"/>
        <v>0.20709499943546278</v>
      </c>
      <c r="T379" s="9">
        <f t="shared" si="57"/>
        <v>0.74402927873211977</v>
      </c>
      <c r="U379" s="14">
        <f t="shared" si="58"/>
        <v>3.1701150892815082E-5</v>
      </c>
      <c r="W379" s="14">
        <f t="shared" si="59"/>
        <v>0.16842106825458586</v>
      </c>
      <c r="X379" s="16">
        <f t="shared" si="60"/>
        <v>0.7625116315287972</v>
      </c>
    </row>
    <row r="380" spans="1:24" x14ac:dyDescent="0.3">
      <c r="A380" s="23">
        <v>28</v>
      </c>
      <c r="B380" s="23">
        <v>0.723369663208</v>
      </c>
      <c r="C380" s="23">
        <v>0.85051141274412101</v>
      </c>
      <c r="D380" s="23">
        <v>0.61523415419127503</v>
      </c>
      <c r="E380" s="23">
        <v>0.1</v>
      </c>
      <c r="F380" s="23">
        <v>1</v>
      </c>
      <c r="G380" s="23">
        <v>0.69749290318123303</v>
      </c>
      <c r="N380" s="9">
        <f t="shared" si="51"/>
        <v>-1.4408752413808326</v>
      </c>
      <c r="O380" s="9">
        <f t="shared" si="52"/>
        <v>1.1898523019668865</v>
      </c>
      <c r="P380" s="9">
        <f t="shared" si="53"/>
        <v>-1.5844488297312984</v>
      </c>
      <c r="Q380" s="9">
        <f t="shared" si="54"/>
        <v>0.19140984901002983</v>
      </c>
      <c r="R380" s="9">
        <f t="shared" si="55"/>
        <v>0.76671464751209661</v>
      </c>
      <c r="S380" s="9">
        <f t="shared" si="56"/>
        <v>0.17016634170693079</v>
      </c>
      <c r="T380" s="9">
        <f t="shared" si="57"/>
        <v>0.69553210475759231</v>
      </c>
      <c r="U380" s="14">
        <f t="shared" si="58"/>
        <v>3.8447304581519306E-6</v>
      </c>
      <c r="W380" s="14">
        <f t="shared" si="59"/>
        <v>0.20366930525683508</v>
      </c>
      <c r="X380" s="16">
        <f t="shared" si="60"/>
        <v>0.28112091387562627</v>
      </c>
    </row>
    <row r="381" spans="1:24" x14ac:dyDescent="0.3">
      <c r="A381" s="23">
        <v>29</v>
      </c>
      <c r="B381" s="23">
        <v>0.90058022766249901</v>
      </c>
      <c r="C381" s="23">
        <v>0.94898905560733404</v>
      </c>
      <c r="D381" s="23">
        <v>0.85464077974807295</v>
      </c>
      <c r="E381" s="23">
        <v>0.4</v>
      </c>
      <c r="F381" s="23">
        <v>1</v>
      </c>
      <c r="G381" s="23">
        <v>1.23863187959918</v>
      </c>
      <c r="N381" s="9">
        <f t="shared" si="51"/>
        <v>-1.3716801841613437</v>
      </c>
      <c r="O381" s="9">
        <f t="shared" si="52"/>
        <v>2.0408916426417294</v>
      </c>
      <c r="P381" s="9">
        <f t="shared" si="53"/>
        <v>-1.0729874657329148</v>
      </c>
      <c r="Q381" s="9">
        <f t="shared" si="54"/>
        <v>0.20234852303422585</v>
      </c>
      <c r="R381" s="9">
        <f t="shared" si="55"/>
        <v>0.88502402953874859</v>
      </c>
      <c r="S381" s="9">
        <f t="shared" si="56"/>
        <v>0.25483536606523033</v>
      </c>
      <c r="T381" s="9">
        <f t="shared" si="57"/>
        <v>1.2353529544013933</v>
      </c>
      <c r="U381" s="14">
        <f t="shared" si="58"/>
        <v>1.0751350452680679E-5</v>
      </c>
      <c r="W381" s="14">
        <f t="shared" si="59"/>
        <v>8.0715164160700577E-3</v>
      </c>
      <c r="X381" s="16">
        <f t="shared" si="60"/>
        <v>0.26472152475582789</v>
      </c>
    </row>
    <row r="382" spans="1:24" x14ac:dyDescent="0.3">
      <c r="A382" s="23">
        <v>30</v>
      </c>
      <c r="B382" s="23">
        <v>0.93966736106488902</v>
      </c>
      <c r="C382" s="23">
        <v>0.96936441087182901</v>
      </c>
      <c r="D382" s="23">
        <v>0.91088009787415303</v>
      </c>
      <c r="E382" s="23">
        <v>0.47222222222222199</v>
      </c>
      <c r="F382" s="23">
        <v>1</v>
      </c>
      <c r="G382" s="23">
        <v>1.35345250679289</v>
      </c>
      <c r="N382" s="9">
        <f t="shared" si="51"/>
        <v>-1.3675804610019844</v>
      </c>
      <c r="O382" s="9">
        <f t="shared" si="52"/>
        <v>2.2402622426099814</v>
      </c>
      <c r="P382" s="9">
        <f t="shared" si="53"/>
        <v>-0.94559062708602415</v>
      </c>
      <c r="Q382" s="9">
        <f t="shared" si="54"/>
        <v>0.20301104063878112</v>
      </c>
      <c r="R382" s="9">
        <f t="shared" si="55"/>
        <v>0.90380725999676703</v>
      </c>
      <c r="S382" s="9">
        <f t="shared" si="56"/>
        <v>0.27977244646660471</v>
      </c>
      <c r="T382" s="9">
        <f t="shared" si="57"/>
        <v>1.3518359787773324</v>
      </c>
      <c r="U382" s="14">
        <f t="shared" si="58"/>
        <v>2.6131628250824667E-6</v>
      </c>
      <c r="W382" s="14">
        <f t="shared" si="59"/>
        <v>4.1886634815514599E-2</v>
      </c>
      <c r="X382" s="16">
        <f t="shared" si="60"/>
        <v>0.11943736536334391</v>
      </c>
    </row>
    <row r="383" spans="1:24" x14ac:dyDescent="0.3">
      <c r="A383" s="23">
        <v>31</v>
      </c>
      <c r="B383" s="23">
        <v>0.93311773293603195</v>
      </c>
      <c r="C383" s="23">
        <v>0.96598019282800596</v>
      </c>
      <c r="D383" s="23">
        <v>0.90137324759278004</v>
      </c>
      <c r="E383" s="23">
        <v>0.3203125</v>
      </c>
      <c r="F383" s="23">
        <v>1</v>
      </c>
      <c r="G383" s="23">
        <v>1.13268322661992</v>
      </c>
      <c r="N383" s="9">
        <f t="shared" si="51"/>
        <v>-1.2770863982845531</v>
      </c>
      <c r="O383" s="9">
        <f t="shared" si="52"/>
        <v>2.0586822636404447</v>
      </c>
      <c r="P383" s="9">
        <f t="shared" si="53"/>
        <v>-0.88869537647009678</v>
      </c>
      <c r="Q383" s="9">
        <f t="shared" si="54"/>
        <v>0.21804659118146288</v>
      </c>
      <c r="R383" s="9">
        <f t="shared" si="55"/>
        <v>0.88682197776813632</v>
      </c>
      <c r="S383" s="9">
        <f t="shared" si="56"/>
        <v>0.29137912928545445</v>
      </c>
      <c r="T383" s="9">
        <f t="shared" si="57"/>
        <v>1.1313154552508458</v>
      </c>
      <c r="U383" s="14">
        <f t="shared" si="58"/>
        <v>1.8707985180593542E-6</v>
      </c>
      <c r="W383" s="14">
        <f t="shared" si="59"/>
        <v>2.5943655947035865E-4</v>
      </c>
      <c r="X383" s="16">
        <f t="shared" si="60"/>
        <v>0.12075497693701208</v>
      </c>
    </row>
    <row r="384" spans="1:24" x14ac:dyDescent="0.3">
      <c r="A384" s="23">
        <v>32</v>
      </c>
      <c r="B384" s="23">
        <v>0.67803485561868704</v>
      </c>
      <c r="C384" s="23">
        <v>0.82342871920931104</v>
      </c>
      <c r="D384" s="23">
        <v>0.55831337274136505</v>
      </c>
      <c r="E384" s="23">
        <v>6.0816326530612003E-2</v>
      </c>
      <c r="F384" s="23">
        <v>1</v>
      </c>
      <c r="G384" s="23">
        <v>0.60208351492020296</v>
      </c>
      <c r="N384" s="9">
        <f t="shared" si="51"/>
        <v>-1.4922098259296146</v>
      </c>
      <c r="O384" s="9">
        <f t="shared" si="52"/>
        <v>1.0178230226242901</v>
      </c>
      <c r="P384" s="9">
        <f t="shared" si="53"/>
        <v>-1.7133923957950432</v>
      </c>
      <c r="Q384" s="9">
        <f t="shared" si="54"/>
        <v>0.18359027629112551</v>
      </c>
      <c r="R384" s="9">
        <f t="shared" si="55"/>
        <v>0.73454833380706985</v>
      </c>
      <c r="S384" s="9">
        <f t="shared" si="56"/>
        <v>0.15272422398292967</v>
      </c>
      <c r="T384" s="9">
        <f t="shared" si="57"/>
        <v>0.61116523957228053</v>
      </c>
      <c r="U384" s="14">
        <f t="shared" si="58"/>
        <v>8.2477722656153495E-5</v>
      </c>
      <c r="W384" s="14">
        <f t="shared" si="59"/>
        <v>0.29888826630926452</v>
      </c>
      <c r="X384" s="16">
        <f t="shared" si="60"/>
        <v>1.5083828782924271</v>
      </c>
    </row>
    <row r="385" spans="1:24" x14ac:dyDescent="0.3">
      <c r="A385" s="23">
        <v>33</v>
      </c>
      <c r="B385" s="23">
        <v>0.89158042542455795</v>
      </c>
      <c r="C385" s="23">
        <v>0.94423536548074605</v>
      </c>
      <c r="D385" s="23">
        <v>0.84186176885623698</v>
      </c>
      <c r="E385" s="23">
        <v>0.24326530612244901</v>
      </c>
      <c r="F385" s="23">
        <v>1</v>
      </c>
      <c r="G385" s="23">
        <v>0.99587519669343305</v>
      </c>
      <c r="N385" s="9">
        <f t="shared" si="51"/>
        <v>-1.2817790094459602</v>
      </c>
      <c r="O385" s="9">
        <f t="shared" si="52"/>
        <v>1.8469111948021542</v>
      </c>
      <c r="P385" s="9">
        <f t="shared" si="53"/>
        <v>-1.0225975538790366</v>
      </c>
      <c r="Q385" s="9">
        <f t="shared" si="54"/>
        <v>0.21724754897874607</v>
      </c>
      <c r="R385" s="9">
        <f t="shared" si="55"/>
        <v>0.86376403382334899</v>
      </c>
      <c r="S385" s="9">
        <f t="shared" si="56"/>
        <v>0.26452173744449553</v>
      </c>
      <c r="T385" s="9">
        <f t="shared" si="57"/>
        <v>0.99436956800801457</v>
      </c>
      <c r="U385" s="14">
        <f t="shared" si="58"/>
        <v>2.2669177383549826E-6</v>
      </c>
      <c r="W385" s="14">
        <f t="shared" si="59"/>
        <v>2.3383016919881042E-2</v>
      </c>
      <c r="X385" s="16">
        <f t="shared" si="60"/>
        <v>0.1511864830470287</v>
      </c>
    </row>
    <row r="386" spans="1:24" x14ac:dyDescent="0.3">
      <c r="A386" s="23">
        <v>34</v>
      </c>
      <c r="B386" s="23">
        <v>0.96611717808573405</v>
      </c>
      <c r="C386" s="23">
        <v>0.98291259941346498</v>
      </c>
      <c r="D386" s="23">
        <v>0.94960874685024999</v>
      </c>
      <c r="E386" s="23">
        <v>0.54734693877550999</v>
      </c>
      <c r="F386" s="23">
        <v>1</v>
      </c>
      <c r="G386" s="23">
        <v>1.46538075417963</v>
      </c>
      <c r="N386" s="9">
        <f t="shared" si="51"/>
        <v>-1.3832992762144534</v>
      </c>
      <c r="O386" s="9">
        <f t="shared" si="52"/>
        <v>2.4040854828411797</v>
      </c>
      <c r="P386" s="9">
        <f t="shared" si="53"/>
        <v>-0.87068042531193979</v>
      </c>
      <c r="Q386" s="9">
        <f t="shared" si="54"/>
        <v>0.20047964419884465</v>
      </c>
      <c r="R386" s="9">
        <f t="shared" si="55"/>
        <v>0.91713831193472606</v>
      </c>
      <c r="S386" s="9">
        <f t="shared" si="56"/>
        <v>0.29511273937505778</v>
      </c>
      <c r="T386" s="9">
        <f t="shared" si="57"/>
        <v>1.4635587448011163</v>
      </c>
      <c r="U386" s="14">
        <f t="shared" si="58"/>
        <v>3.3197181753920019E-6</v>
      </c>
      <c r="W386" s="14">
        <f t="shared" si="59"/>
        <v>0.10022954031375199</v>
      </c>
      <c r="X386" s="16">
        <f t="shared" si="60"/>
        <v>0.12433692562952736</v>
      </c>
    </row>
    <row r="387" spans="1:24" x14ac:dyDescent="0.3">
      <c r="A387" s="23">
        <v>35</v>
      </c>
      <c r="B387" s="23">
        <v>0.98325960470347495</v>
      </c>
      <c r="C387" s="23">
        <v>0.99159447593432803</v>
      </c>
      <c r="D387" s="23">
        <v>0.97499479243333698</v>
      </c>
      <c r="E387" s="23">
        <v>0.6278125</v>
      </c>
      <c r="F387" s="23">
        <v>1</v>
      </c>
      <c r="G387" s="23">
        <v>1.57674924351204</v>
      </c>
      <c r="N387" s="9">
        <f t="shared" si="51"/>
        <v>-1.4147667544396187</v>
      </c>
      <c r="O387" s="9">
        <f t="shared" si="52"/>
        <v>2.5443913998387133</v>
      </c>
      <c r="P387" s="9">
        <f t="shared" si="53"/>
        <v>-0.83854073589968714</v>
      </c>
      <c r="Q387" s="9">
        <f t="shared" si="54"/>
        <v>0.19548330255255283</v>
      </c>
      <c r="R387" s="9">
        <f t="shared" si="55"/>
        <v>0.92719581913303517</v>
      </c>
      <c r="S387" s="9">
        <f t="shared" si="56"/>
        <v>0.30184221086352914</v>
      </c>
      <c r="T387" s="9">
        <f t="shared" si="57"/>
        <v>1.5737245425501403</v>
      </c>
      <c r="U387" s="14">
        <f t="shared" si="58"/>
        <v>9.1488159089174138E-6</v>
      </c>
      <c r="W387" s="14">
        <f t="shared" si="59"/>
        <v>0.18314889063437911</v>
      </c>
      <c r="X387" s="16">
        <f t="shared" si="60"/>
        <v>0.19183145159864329</v>
      </c>
    </row>
    <row r="388" spans="1:24" x14ac:dyDescent="0.3">
      <c r="A388" s="23">
        <v>36</v>
      </c>
      <c r="B388" s="23">
        <v>0.63822315837842403</v>
      </c>
      <c r="C388" s="23">
        <v>0.79888870212215701</v>
      </c>
      <c r="D388" s="23">
        <v>0.50986927066124299</v>
      </c>
      <c r="E388" s="23">
        <v>4.4691358024691E-2</v>
      </c>
      <c r="F388" s="23">
        <v>1</v>
      </c>
      <c r="G388" s="23">
        <v>0.55769899582948002</v>
      </c>
      <c r="N388" s="9">
        <f t="shared" si="51"/>
        <v>-1.5525010131219021</v>
      </c>
      <c r="O388" s="9">
        <f t="shared" si="52"/>
        <v>0.88792202264900566</v>
      </c>
      <c r="P388" s="9">
        <f t="shared" si="53"/>
        <v>-1.8285412088054156</v>
      </c>
      <c r="Q388" s="9">
        <f t="shared" si="54"/>
        <v>0.17472533765574463</v>
      </c>
      <c r="R388" s="9">
        <f t="shared" si="55"/>
        <v>0.70846116492202771</v>
      </c>
      <c r="S388" s="9">
        <f t="shared" si="56"/>
        <v>0.13841214843995731</v>
      </c>
      <c r="T388" s="9">
        <f t="shared" si="57"/>
        <v>0.57016384340409154</v>
      </c>
      <c r="U388" s="14">
        <f t="shared" si="58"/>
        <v>1.5537242505829884E-4</v>
      </c>
      <c r="W388" s="14">
        <f t="shared" si="59"/>
        <v>0.34938888386911782</v>
      </c>
      <c r="X388" s="16">
        <f t="shared" si="60"/>
        <v>2.2350493129492262</v>
      </c>
    </row>
    <row r="389" spans="1:24" x14ac:dyDescent="0.3">
      <c r="A389" s="23">
        <v>37</v>
      </c>
      <c r="B389" s="23">
        <v>0.86512518623928802</v>
      </c>
      <c r="C389" s="23">
        <v>0.93012105999127204</v>
      </c>
      <c r="D389" s="23">
        <v>0.80467115525003297</v>
      </c>
      <c r="E389" s="23">
        <v>0.178765432098765</v>
      </c>
      <c r="F389" s="23">
        <v>1</v>
      </c>
      <c r="G389" s="23">
        <v>0.87614014693297504</v>
      </c>
      <c r="N389" s="9">
        <f t="shared" si="51"/>
        <v>-1.2762174965136008</v>
      </c>
      <c r="O389" s="9">
        <f t="shared" si="52"/>
        <v>1.6968379301501082</v>
      </c>
      <c r="P389" s="9">
        <f t="shared" si="53"/>
        <v>-1.0954935410795921</v>
      </c>
      <c r="Q389" s="9">
        <f t="shared" si="54"/>
        <v>0.21819477720512731</v>
      </c>
      <c r="R389" s="9">
        <f t="shared" si="55"/>
        <v>0.84512129904415767</v>
      </c>
      <c r="S389" s="9">
        <f t="shared" si="56"/>
        <v>0.25058522098763292</v>
      </c>
      <c r="T389" s="9">
        <f t="shared" si="57"/>
        <v>0.87900725930991841</v>
      </c>
      <c r="U389" s="14">
        <f t="shared" si="58"/>
        <v>8.2203333820218628E-6</v>
      </c>
      <c r="W389" s="14">
        <f t="shared" si="59"/>
        <v>7.433808475068536E-2</v>
      </c>
      <c r="X389" s="16">
        <f t="shared" si="60"/>
        <v>0.32724357934972076</v>
      </c>
    </row>
    <row r="390" spans="1:24" x14ac:dyDescent="0.3">
      <c r="A390" s="23">
        <v>38</v>
      </c>
      <c r="B390" s="23">
        <v>0.95986863223136598</v>
      </c>
      <c r="C390" s="23">
        <v>0.97972885648600005</v>
      </c>
      <c r="D390" s="23">
        <v>0.94041099743281698</v>
      </c>
      <c r="E390" s="23">
        <v>0.40222222222222198</v>
      </c>
      <c r="F390" s="23">
        <v>1</v>
      </c>
      <c r="G390" s="23">
        <v>1.2650845008409399</v>
      </c>
      <c r="N390" s="9">
        <f t="shared" si="51"/>
        <v>-1.2965692524855288</v>
      </c>
      <c r="O390" s="9">
        <f t="shared" si="52"/>
        <v>2.2304283334989696</v>
      </c>
      <c r="P390" s="9">
        <f t="shared" si="53"/>
        <v>-0.81694915028795811</v>
      </c>
      <c r="Q390" s="9">
        <f t="shared" si="54"/>
        <v>0.21474297233832387</v>
      </c>
      <c r="R390" s="9">
        <f t="shared" si="55"/>
        <v>0.90294890129213767</v>
      </c>
      <c r="S390" s="9">
        <f t="shared" si="56"/>
        <v>0.30641165409661203</v>
      </c>
      <c r="T390" s="9">
        <f t="shared" si="57"/>
        <v>1.2632950769114255</v>
      </c>
      <c r="U390" s="14">
        <f t="shared" si="58"/>
        <v>3.2020379995188355E-6</v>
      </c>
      <c r="W390" s="14">
        <f t="shared" si="59"/>
        <v>1.3524350198887985E-2</v>
      </c>
      <c r="X390" s="16">
        <f t="shared" si="60"/>
        <v>0.14144698858652824</v>
      </c>
    </row>
    <row r="391" spans="1:24" x14ac:dyDescent="0.3">
      <c r="A391" s="23">
        <v>39</v>
      </c>
      <c r="B391" s="23">
        <v>0.993341005660478</v>
      </c>
      <c r="C391" s="23">
        <v>0.99666494152271501</v>
      </c>
      <c r="D391" s="23">
        <v>0.99002815531871602</v>
      </c>
      <c r="E391" s="23">
        <v>0.71506172839506199</v>
      </c>
      <c r="F391" s="23">
        <v>1</v>
      </c>
      <c r="G391" s="23">
        <v>1.6894272644641299</v>
      </c>
      <c r="N391" s="9">
        <f t="shared" si="51"/>
        <v>-1.4594797661371022</v>
      </c>
      <c r="O391" s="9">
        <f t="shared" si="52"/>
        <v>2.6693608080047619</v>
      </c>
      <c r="P391" s="9">
        <f t="shared" si="53"/>
        <v>-0.8415737473074737</v>
      </c>
      <c r="Q391" s="9">
        <f t="shared" si="54"/>
        <v>0.18854690652259665</v>
      </c>
      <c r="R391" s="9">
        <f t="shared" si="55"/>
        <v>0.93519430334975628</v>
      </c>
      <c r="S391" s="9">
        <f t="shared" si="56"/>
        <v>0.3012034381840602</v>
      </c>
      <c r="T391" s="9">
        <f t="shared" si="57"/>
        <v>1.6839629503777278</v>
      </c>
      <c r="U391" s="14">
        <f t="shared" si="58"/>
        <v>2.9858728434852782E-5</v>
      </c>
      <c r="W391" s="14">
        <f t="shared" si="59"/>
        <v>0.2922883694156802</v>
      </c>
      <c r="X391" s="16">
        <f t="shared" si="60"/>
        <v>0.32344180784458698</v>
      </c>
    </row>
    <row r="392" spans="1:24" x14ac:dyDescent="0.3"/>
  </sheetData>
  <mergeCells count="2">
    <mergeCell ref="H1:H3"/>
    <mergeCell ref="H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C42A-2146-47BF-91D9-587AE03CFA31}">
  <dimension ref="A1:AC280"/>
  <sheetViews>
    <sheetView zoomScale="120" zoomScaleNormal="120" workbookViewId="0">
      <pane xSplit="8" topLeftCell="I1" activePane="topRight" state="frozen"/>
      <selection pane="topRight" activeCell="E11" sqref="E11"/>
    </sheetView>
  </sheetViews>
  <sheetFormatPr baseColWidth="10" defaultColWidth="0" defaultRowHeight="14.4" zeroHeight="1" x14ac:dyDescent="0.3"/>
  <cols>
    <col min="1" max="1" width="12.77734375" customWidth="1"/>
    <col min="2" max="15" width="11.5546875" customWidth="1"/>
    <col min="16" max="29" width="0" hidden="1" customWidth="1"/>
    <col min="30" max="16384" width="11.5546875" hidden="1"/>
  </cols>
  <sheetData>
    <row r="1" spans="1:15" x14ac:dyDescent="0.3">
      <c r="A1" s="26" t="s">
        <v>0</v>
      </c>
      <c r="B1" s="3">
        <v>3.8777054316785247</v>
      </c>
      <c r="C1" s="3">
        <v>0.42089535481985185</v>
      </c>
      <c r="D1" s="3">
        <v>-1.9387117706218049</v>
      </c>
      <c r="E1" s="4">
        <v>-0.65094550206487745</v>
      </c>
      <c r="F1" s="4">
        <v>-0.35317006614039093</v>
      </c>
      <c r="I1" s="24"/>
      <c r="J1" s="24"/>
      <c r="K1" s="24"/>
      <c r="L1" s="22"/>
      <c r="M1" s="22"/>
    </row>
    <row r="2" spans="1:15" x14ac:dyDescent="0.3">
      <c r="A2" s="26"/>
      <c r="B2" s="3">
        <v>-2.9636557706216236</v>
      </c>
      <c r="C2" s="3">
        <v>3.6011102835522393</v>
      </c>
      <c r="D2" s="3">
        <v>2.9403760280486586</v>
      </c>
      <c r="E2" s="4">
        <v>1.0588536582586749</v>
      </c>
      <c r="F2" s="4">
        <v>-0.23723807360539542</v>
      </c>
      <c r="I2" s="24"/>
      <c r="J2" s="24"/>
      <c r="K2" s="24"/>
      <c r="L2" s="22"/>
      <c r="M2" s="22"/>
    </row>
    <row r="3" spans="1:15" x14ac:dyDescent="0.3">
      <c r="A3" s="26"/>
      <c r="B3" s="3">
        <v>-1.1329318778448056</v>
      </c>
      <c r="C3" s="3">
        <v>-1.9409389403678001</v>
      </c>
      <c r="D3" s="3">
        <v>4.4785080273477993</v>
      </c>
      <c r="E3" s="4">
        <v>-0.56272180335922528</v>
      </c>
      <c r="F3" s="4">
        <v>-1.4530315948626047</v>
      </c>
      <c r="I3" s="24"/>
      <c r="J3" s="24"/>
      <c r="K3" s="24"/>
      <c r="L3" s="22"/>
      <c r="M3" s="22"/>
    </row>
    <row r="4" spans="1:15" x14ac:dyDescent="0.3">
      <c r="A4" s="27" t="s">
        <v>13</v>
      </c>
      <c r="B4" s="5">
        <v>-2.9928397035931753</v>
      </c>
      <c r="I4" s="24"/>
    </row>
    <row r="5" spans="1:15" x14ac:dyDescent="0.3">
      <c r="A5" s="27"/>
      <c r="B5" s="5">
        <v>-1.40678146692679</v>
      </c>
      <c r="I5" s="24"/>
    </row>
    <row r="6" spans="1:15" x14ac:dyDescent="0.3">
      <c r="A6" s="27"/>
      <c r="B6" s="5">
        <v>-0.36015688164043114</v>
      </c>
      <c r="I6" s="24"/>
    </row>
    <row r="7" spans="1:15" x14ac:dyDescent="0.3">
      <c r="A7" s="11" t="s">
        <v>1</v>
      </c>
      <c r="B7" s="7">
        <v>-10.976444592355595</v>
      </c>
      <c r="C7" s="7">
        <v>4.3954161226160258</v>
      </c>
      <c r="D7" s="7">
        <v>1.651957546784143</v>
      </c>
      <c r="I7" s="24"/>
      <c r="J7" s="24"/>
      <c r="K7" s="24"/>
    </row>
    <row r="8" spans="1:15" x14ac:dyDescent="0.3">
      <c r="A8" s="12" t="s">
        <v>12</v>
      </c>
      <c r="B8" s="8">
        <v>-0.85460578866461112</v>
      </c>
      <c r="I8" s="24"/>
    </row>
    <row r="9" spans="1:15" x14ac:dyDescent="0.3"/>
    <row r="10" spans="1:15" x14ac:dyDescent="0.3">
      <c r="A10" s="6" t="s">
        <v>27</v>
      </c>
      <c r="B10" s="6" t="s">
        <v>28</v>
      </c>
      <c r="C10" s="18" t="s">
        <v>29</v>
      </c>
      <c r="D10" s="18" t="s">
        <v>30</v>
      </c>
      <c r="E10" s="6" t="s">
        <v>36</v>
      </c>
      <c r="F10" s="6" t="s">
        <v>35</v>
      </c>
    </row>
    <row r="11" spans="1:15" x14ac:dyDescent="0.3">
      <c r="A11" s="6" t="s">
        <v>33</v>
      </c>
      <c r="B11" s="23">
        <v>0.88470000000000004</v>
      </c>
      <c r="C11" s="23">
        <v>0.94059999999999999</v>
      </c>
      <c r="D11" s="23">
        <v>1.2018</v>
      </c>
      <c r="E11" s="23">
        <v>2.1575000000000002</v>
      </c>
      <c r="F11" s="1">
        <v>10000000000</v>
      </c>
    </row>
    <row r="12" spans="1:15" x14ac:dyDescent="0.3">
      <c r="A12" s="6" t="s">
        <v>31</v>
      </c>
      <c r="B12" s="23">
        <v>0.70679999999999998</v>
      </c>
      <c r="C12" s="23">
        <v>0.8407</v>
      </c>
      <c r="D12" s="23">
        <v>1.6831</v>
      </c>
      <c r="E12" s="23">
        <v>1.1571</v>
      </c>
      <c r="F12" s="1">
        <v>10000000000</v>
      </c>
    </row>
    <row r="13" spans="1:15" x14ac:dyDescent="0.3">
      <c r="A13" s="6" t="s">
        <v>32</v>
      </c>
      <c r="B13" s="23">
        <v>0.67269999999999996</v>
      </c>
      <c r="C13" s="23">
        <v>0.82020000000000004</v>
      </c>
      <c r="D13" s="23">
        <v>1.8123</v>
      </c>
      <c r="E13" s="23">
        <v>1.1571</v>
      </c>
      <c r="F13" s="1">
        <v>10000000000</v>
      </c>
    </row>
    <row r="14" spans="1:15" x14ac:dyDescent="0.3"/>
    <row r="15" spans="1:15" ht="14.4" customHeight="1" x14ac:dyDescent="0.3">
      <c r="A15" s="6" t="s">
        <v>27</v>
      </c>
      <c r="B15" s="6" t="s">
        <v>14</v>
      </c>
      <c r="C15" s="6" t="s">
        <v>15</v>
      </c>
      <c r="D15" s="6" t="s">
        <v>16</v>
      </c>
      <c r="E15" s="6" t="s">
        <v>17</v>
      </c>
      <c r="F15" s="6" t="s">
        <v>18</v>
      </c>
      <c r="G15" s="6" t="s">
        <v>11</v>
      </c>
      <c r="I15" s="6" t="s">
        <v>2</v>
      </c>
      <c r="J15" s="6" t="s">
        <v>3</v>
      </c>
      <c r="K15" s="6" t="s">
        <v>4</v>
      </c>
      <c r="L15" s="6" t="s">
        <v>5</v>
      </c>
      <c r="M15" s="6" t="s">
        <v>6</v>
      </c>
      <c r="N15" s="6" t="s">
        <v>7</v>
      </c>
      <c r="O15" s="6" t="s">
        <v>19</v>
      </c>
    </row>
    <row r="16" spans="1:15" s="24" customFormat="1" x14ac:dyDescent="0.3">
      <c r="A16" s="20" t="str">
        <f t="shared" ref="A16:C18" si="0">A11</f>
        <v>Wheat</v>
      </c>
      <c r="B16" s="9">
        <f t="shared" si="0"/>
        <v>0.88470000000000004</v>
      </c>
      <c r="C16" s="9">
        <f t="shared" si="0"/>
        <v>0.94059999999999999</v>
      </c>
      <c r="D16" s="9">
        <f>1/D11</f>
        <v>0.83208520552504572</v>
      </c>
      <c r="E16" s="9">
        <f>-0.5+0.5*E11</f>
        <v>0.5787500000000001</v>
      </c>
      <c r="F16" s="9">
        <f>1/F11</f>
        <v>1E-10</v>
      </c>
      <c r="G16" s="9">
        <v>1.4618</v>
      </c>
      <c r="H16"/>
      <c r="I16" s="9">
        <f>B16*$B$1+C16*$C$1+D16*$D$1+E16*$E$1+F16*$F$1+$B$4</f>
        <v>-1.1562476289106662</v>
      </c>
      <c r="J16" s="9">
        <f>$B$2*B16+$C$2*C16+$D$2*D16+$E$2*E16+$F$2*F16+$B$5</f>
        <v>2.4179315518267668</v>
      </c>
      <c r="K16" s="9">
        <f>$B$3*B16+$C$3*C16+$D$3*D16+$E$3*E16+$F$3*F16+$B$6</f>
        <v>0.2127161472621224</v>
      </c>
      <c r="L16" s="9">
        <f t="shared" ref="L16:L18" si="1">1/(1+EXP(-I16))</f>
        <v>0.23934977900643623</v>
      </c>
      <c r="M16" s="9">
        <f t="shared" ref="M16:N18" si="2">1/(1+EXP(-J16))</f>
        <v>0.91818449348085629</v>
      </c>
      <c r="N16" s="9">
        <f t="shared" si="2"/>
        <v>0.5529794188738788</v>
      </c>
      <c r="O16" s="9">
        <f t="shared" ref="O16:O18" si="3">$B$7*L16+$C$7*M16+$D$7*N16+$B$8</f>
        <v>1.4674860742854841</v>
      </c>
    </row>
    <row r="17" spans="1:15" s="24" customFormat="1" x14ac:dyDescent="0.3">
      <c r="A17" s="20" t="str">
        <f t="shared" si="0"/>
        <v>Bayo beans 1</v>
      </c>
      <c r="B17" s="9">
        <f t="shared" si="0"/>
        <v>0.70679999999999998</v>
      </c>
      <c r="C17" s="9">
        <f t="shared" si="0"/>
        <v>0.8407</v>
      </c>
      <c r="D17" s="9">
        <f>1/D12</f>
        <v>0.5941417622244668</v>
      </c>
      <c r="E17" s="9">
        <f>-0.5+0.5*E12</f>
        <v>7.8550000000000009E-2</v>
      </c>
      <c r="F17" s="9">
        <f>1/F12</f>
        <v>1E-10</v>
      </c>
      <c r="G17" s="9">
        <v>0.66069999999999995</v>
      </c>
      <c r="H17"/>
      <c r="I17" s="9">
        <f>B17*$B$1+C17*$C$1+D17*$D$1+E17*$E$1+F17*$F$1+$B$4</f>
        <v>-1.1012321767508133</v>
      </c>
      <c r="J17" s="9">
        <f>$B$2*B17+$C$2*C17+$D$2*D17+$E$2*E17+$F$2*F17+$B$5</f>
        <v>1.3561331995201173</v>
      </c>
      <c r="K17" s="9">
        <f>$B$3*B17+$C$3*C17+$D$3*D17+$E$3*E17+$F$3*F17+$B$6</f>
        <v>-0.17599364636267786</v>
      </c>
      <c r="L17" s="9">
        <f t="shared" si="1"/>
        <v>0.24950909279576786</v>
      </c>
      <c r="M17" s="9">
        <f t="shared" si="2"/>
        <v>0.79513052255481209</v>
      </c>
      <c r="N17" s="9">
        <f t="shared" si="2"/>
        <v>0.45611480411706912</v>
      </c>
      <c r="O17" s="9">
        <f t="shared" si="3"/>
        <v>0.65508329025642242</v>
      </c>
    </row>
    <row r="18" spans="1:15" s="24" customFormat="1" x14ac:dyDescent="0.3">
      <c r="A18" s="20" t="str">
        <f t="shared" si="0"/>
        <v>Bayo beans 2</v>
      </c>
      <c r="B18" s="9">
        <f t="shared" si="0"/>
        <v>0.67269999999999996</v>
      </c>
      <c r="C18" s="9">
        <f t="shared" si="0"/>
        <v>0.82020000000000004</v>
      </c>
      <c r="D18" s="9">
        <f>1/D13</f>
        <v>0.55178502455443357</v>
      </c>
      <c r="E18" s="9">
        <f>-0.5+0.5*E13</f>
        <v>7.8550000000000009E-2</v>
      </c>
      <c r="F18" s="9">
        <f>1/F13</f>
        <v>1E-10</v>
      </c>
      <c r="G18" s="9">
        <v>0.70550000000000002</v>
      </c>
      <c r="H18"/>
      <c r="I18" s="9">
        <f>B18*$B$1+C18*$C$1+D18*$D$1+E18*$E$1+F18*$F$1+$B$4</f>
        <v>-1.1599727808588247</v>
      </c>
      <c r="J18" s="9">
        <f>$B$2*B18+$C$2*C18+$D$2*D18+$E$2*E18+$F$2*F18+$B$5</f>
        <v>1.2588263644141826</v>
      </c>
      <c r="K18" s="9">
        <f>$B$3*B18+$C$3*C18+$D$3*D18+$E$3*E18+$F$3*F18+$B$6</f>
        <v>-0.28726641071813863</v>
      </c>
      <c r="L18" s="9">
        <f t="shared" si="1"/>
        <v>0.23867223105209251</v>
      </c>
      <c r="M18" s="9">
        <f t="shared" si="2"/>
        <v>0.7788240067896649</v>
      </c>
      <c r="N18" s="9">
        <f t="shared" si="2"/>
        <v>0.42867322630262988</v>
      </c>
      <c r="O18" s="9">
        <f t="shared" si="3"/>
        <v>0.65702725887684521</v>
      </c>
    </row>
    <row r="19" spans="1:15" hidden="1" x14ac:dyDescent="0.3">
      <c r="A19" s="19"/>
      <c r="B19" s="19"/>
      <c r="C19" s="19"/>
      <c r="D19" s="19"/>
      <c r="E19" s="19"/>
      <c r="F19" s="19"/>
      <c r="G19" s="19"/>
      <c r="H19" s="2"/>
      <c r="I19" s="19"/>
      <c r="J19" s="19"/>
      <c r="K19" s="19"/>
      <c r="L19" s="19"/>
      <c r="M19" s="19"/>
      <c r="N19" s="19"/>
      <c r="O19" s="19"/>
    </row>
    <row r="20" spans="1:15" hidden="1" x14ac:dyDescent="0.3">
      <c r="A20" s="19"/>
      <c r="B20" s="19"/>
      <c r="C20" s="19"/>
      <c r="D20" s="19"/>
      <c r="E20" s="19"/>
      <c r="F20" s="19"/>
      <c r="G20" s="19"/>
      <c r="H20" s="2"/>
      <c r="I20" s="19"/>
      <c r="J20" s="19"/>
      <c r="K20" s="19"/>
      <c r="L20" s="19"/>
      <c r="M20" s="19"/>
      <c r="N20" s="19"/>
      <c r="O20" s="19"/>
    </row>
    <row r="21" spans="1:15" hidden="1" x14ac:dyDescent="0.3">
      <c r="A21" s="19"/>
      <c r="B21" s="19"/>
      <c r="C21" s="19"/>
      <c r="D21" s="19"/>
      <c r="E21" s="19"/>
      <c r="F21" s="19"/>
      <c r="G21" s="19"/>
      <c r="H21" s="2"/>
      <c r="I21" s="19"/>
      <c r="J21" s="19"/>
      <c r="K21" s="19"/>
      <c r="L21" s="19"/>
      <c r="M21" s="19"/>
      <c r="N21" s="19"/>
      <c r="O21" s="19"/>
    </row>
    <row r="22" spans="1:15" hidden="1" x14ac:dyDescent="0.3">
      <c r="A22" s="19"/>
      <c r="B22" s="19"/>
      <c r="C22" s="19"/>
      <c r="D22" s="19"/>
      <c r="E22" s="19"/>
      <c r="F22" s="19"/>
      <c r="G22" s="19"/>
      <c r="H22" s="2"/>
      <c r="I22" s="19"/>
      <c r="J22" s="19"/>
      <c r="K22" s="19"/>
      <c r="L22" s="19"/>
      <c r="M22" s="19"/>
      <c r="N22" s="19"/>
      <c r="O22" s="19"/>
    </row>
    <row r="23" spans="1:15" hidden="1" x14ac:dyDescent="0.3">
      <c r="A23" s="19"/>
      <c r="B23" s="19"/>
      <c r="C23" s="19"/>
      <c r="D23" s="19"/>
      <c r="E23" s="19"/>
      <c r="F23" s="19"/>
      <c r="G23" s="19"/>
      <c r="H23" s="2"/>
      <c r="I23" s="19"/>
      <c r="J23" s="19"/>
      <c r="K23" s="19"/>
      <c r="L23" s="19"/>
      <c r="M23" s="19"/>
      <c r="N23" s="19"/>
      <c r="O23" s="19"/>
    </row>
    <row r="24" spans="1:15" hidden="1" x14ac:dyDescent="0.3">
      <c r="A24" s="19"/>
      <c r="B24" s="19"/>
      <c r="C24" s="19"/>
      <c r="D24" s="19"/>
      <c r="E24" s="19"/>
      <c r="F24" s="19"/>
      <c r="G24" s="19"/>
      <c r="H24" s="2"/>
      <c r="I24" s="19"/>
      <c r="J24" s="19"/>
      <c r="K24" s="19"/>
      <c r="L24" s="19"/>
      <c r="M24" s="19"/>
      <c r="N24" s="19"/>
      <c r="O24" s="19"/>
    </row>
    <row r="25" spans="1:15" hidden="1" x14ac:dyDescent="0.3">
      <c r="A25" s="19"/>
      <c r="B25" s="19"/>
      <c r="C25" s="19"/>
      <c r="D25" s="19"/>
      <c r="E25" s="19"/>
      <c r="F25" s="19"/>
      <c r="G25" s="19"/>
      <c r="H25" s="2"/>
      <c r="I25" s="19"/>
      <c r="J25" s="19"/>
      <c r="K25" s="19"/>
      <c r="L25" s="19"/>
      <c r="M25" s="19"/>
      <c r="N25" s="19"/>
      <c r="O25" s="19"/>
    </row>
    <row r="26" spans="1:15" hidden="1" x14ac:dyDescent="0.3">
      <c r="A26" s="19"/>
      <c r="B26" s="19"/>
      <c r="C26" s="19"/>
      <c r="D26" s="19"/>
      <c r="E26" s="19"/>
      <c r="F26" s="19"/>
      <c r="G26" s="19"/>
      <c r="H26" s="2"/>
      <c r="I26" s="19"/>
      <c r="J26" s="19"/>
      <c r="K26" s="19"/>
      <c r="L26" s="19"/>
      <c r="M26" s="19"/>
      <c r="N26" s="19"/>
      <c r="O26" s="19"/>
    </row>
    <row r="27" spans="1:15" hidden="1" x14ac:dyDescent="0.3">
      <c r="A27" s="19"/>
      <c r="B27" s="19"/>
      <c r="C27" s="19"/>
      <c r="D27" s="19"/>
      <c r="E27" s="19"/>
      <c r="F27" s="19"/>
      <c r="G27" s="19"/>
      <c r="H27" s="2"/>
      <c r="I27" s="19"/>
      <c r="J27" s="19"/>
      <c r="K27" s="19"/>
      <c r="L27" s="19"/>
      <c r="M27" s="19"/>
      <c r="N27" s="19"/>
      <c r="O27" s="19"/>
    </row>
    <row r="28" spans="1:15" hidden="1" x14ac:dyDescent="0.3">
      <c r="A28" s="19"/>
      <c r="B28" s="19"/>
      <c r="C28" s="19"/>
      <c r="D28" s="19"/>
      <c r="E28" s="19"/>
      <c r="F28" s="19"/>
      <c r="G28" s="19"/>
      <c r="H28" s="2"/>
      <c r="I28" s="19"/>
      <c r="J28" s="19"/>
      <c r="K28" s="19"/>
      <c r="L28" s="19"/>
      <c r="M28" s="19"/>
      <c r="N28" s="19"/>
      <c r="O28" s="19"/>
    </row>
    <row r="29" spans="1:15" hidden="1" x14ac:dyDescent="0.3">
      <c r="A29" s="19"/>
      <c r="B29" s="19"/>
      <c r="C29" s="19"/>
      <c r="D29" s="19"/>
      <c r="E29" s="19"/>
      <c r="F29" s="19"/>
      <c r="G29" s="19"/>
      <c r="H29" s="2"/>
      <c r="I29" s="19"/>
      <c r="J29" s="19"/>
      <c r="K29" s="19"/>
      <c r="L29" s="19"/>
      <c r="M29" s="19"/>
      <c r="N29" s="19"/>
      <c r="O29" s="19"/>
    </row>
    <row r="30" spans="1:15" hidden="1" x14ac:dyDescent="0.3">
      <c r="A30" s="19"/>
      <c r="B30" s="19"/>
      <c r="C30" s="19"/>
      <c r="D30" s="19"/>
      <c r="E30" s="19"/>
      <c r="F30" s="19"/>
      <c r="G30" s="19"/>
      <c r="H30" s="2"/>
      <c r="I30" s="19"/>
      <c r="J30" s="19"/>
      <c r="K30" s="19"/>
      <c r="L30" s="19"/>
      <c r="M30" s="19"/>
      <c r="N30" s="19"/>
      <c r="O30" s="19"/>
    </row>
    <row r="31" spans="1:15" hidden="1" x14ac:dyDescent="0.3">
      <c r="A31" s="19"/>
      <c r="B31" s="19"/>
      <c r="C31" s="19"/>
      <c r="D31" s="19"/>
      <c r="E31" s="19"/>
      <c r="F31" s="19"/>
      <c r="G31" s="19"/>
      <c r="H31" s="2"/>
      <c r="I31" s="19"/>
      <c r="J31" s="19"/>
      <c r="K31" s="19"/>
      <c r="L31" s="19"/>
      <c r="M31" s="19"/>
      <c r="N31" s="19"/>
      <c r="O31" s="19"/>
    </row>
    <row r="32" spans="1:15" hidden="1" x14ac:dyDescent="0.3">
      <c r="A32" s="19"/>
      <c r="B32" s="19"/>
      <c r="C32" s="19"/>
      <c r="D32" s="19"/>
      <c r="E32" s="19"/>
      <c r="F32" s="19"/>
      <c r="G32" s="19"/>
      <c r="H32" s="2"/>
      <c r="I32" s="19"/>
      <c r="J32" s="19"/>
      <c r="K32" s="19"/>
      <c r="L32" s="19"/>
      <c r="M32" s="19"/>
      <c r="N32" s="19"/>
      <c r="O32" s="19"/>
    </row>
    <row r="33" spans="1:15" hidden="1" x14ac:dyDescent="0.3">
      <c r="A33" s="19"/>
      <c r="B33" s="19"/>
      <c r="C33" s="19"/>
      <c r="D33" s="19"/>
      <c r="E33" s="19"/>
      <c r="F33" s="19"/>
      <c r="G33" s="19"/>
      <c r="I33" s="19"/>
      <c r="J33" s="19"/>
      <c r="K33" s="19"/>
      <c r="L33" s="19"/>
      <c r="M33" s="19"/>
      <c r="N33" s="19"/>
      <c r="O33" s="19"/>
    </row>
    <row r="34" spans="1:15" hidden="1" x14ac:dyDescent="0.3">
      <c r="A34" s="19"/>
      <c r="B34" s="19"/>
      <c r="C34" s="19"/>
      <c r="D34" s="19"/>
      <c r="E34" s="19"/>
      <c r="F34" s="19"/>
      <c r="G34" s="19"/>
      <c r="I34" s="19"/>
      <c r="J34" s="19"/>
      <c r="K34" s="19"/>
      <c r="L34" s="19"/>
      <c r="M34" s="19"/>
      <c r="N34" s="19"/>
      <c r="O34" s="19"/>
    </row>
    <row r="35" spans="1:15" hidden="1" x14ac:dyDescent="0.3">
      <c r="A35" s="19"/>
      <c r="B35" s="19"/>
      <c r="C35" s="19"/>
      <c r="D35" s="19"/>
      <c r="E35" s="19"/>
      <c r="F35" s="19"/>
      <c r="G35" s="19"/>
      <c r="I35" s="19"/>
      <c r="J35" s="19"/>
      <c r="K35" s="19"/>
      <c r="L35" s="19"/>
      <c r="M35" s="19"/>
      <c r="N35" s="19"/>
      <c r="O35" s="19"/>
    </row>
    <row r="36" spans="1:15" hidden="1" x14ac:dyDescent="0.3">
      <c r="A36" s="19"/>
      <c r="B36" s="19"/>
      <c r="C36" s="19"/>
      <c r="D36" s="19"/>
      <c r="E36" s="19"/>
      <c r="F36" s="19"/>
      <c r="G36" s="19"/>
      <c r="I36" s="19"/>
      <c r="J36" s="19"/>
      <c r="K36" s="19"/>
      <c r="L36" s="19"/>
      <c r="M36" s="19"/>
      <c r="N36" s="19"/>
      <c r="O36" s="19"/>
    </row>
    <row r="37" spans="1:15" hidden="1" x14ac:dyDescent="0.3">
      <c r="A37" s="19"/>
      <c r="B37" s="19"/>
      <c r="C37" s="19"/>
      <c r="D37" s="19"/>
      <c r="E37" s="19"/>
      <c r="F37" s="19"/>
      <c r="G37" s="19"/>
      <c r="I37" s="19"/>
      <c r="J37" s="19"/>
      <c r="K37" s="19"/>
      <c r="L37" s="19"/>
      <c r="M37" s="19"/>
      <c r="N37" s="19"/>
      <c r="O37" s="19"/>
    </row>
    <row r="38" spans="1:15" hidden="1" x14ac:dyDescent="0.3">
      <c r="A38" s="19"/>
      <c r="B38" s="19"/>
      <c r="C38" s="19"/>
      <c r="D38" s="19"/>
      <c r="E38" s="19"/>
      <c r="F38" s="19"/>
      <c r="G38" s="19"/>
      <c r="I38" s="19"/>
      <c r="J38" s="19"/>
      <c r="K38" s="19"/>
      <c r="L38" s="19"/>
      <c r="M38" s="19"/>
      <c r="N38" s="19"/>
      <c r="O38" s="19"/>
    </row>
    <row r="39" spans="1:15" hidden="1" x14ac:dyDescent="0.3">
      <c r="A39" s="19"/>
      <c r="B39" s="19"/>
      <c r="C39" s="19"/>
      <c r="D39" s="19"/>
      <c r="E39" s="19"/>
      <c r="F39" s="19"/>
      <c r="G39" s="19"/>
      <c r="I39" s="19"/>
      <c r="J39" s="19"/>
      <c r="K39" s="19"/>
      <c r="L39" s="19"/>
      <c r="M39" s="19"/>
      <c r="N39" s="19"/>
      <c r="O39" s="19"/>
    </row>
    <row r="40" spans="1:15" hidden="1" x14ac:dyDescent="0.3">
      <c r="A40" s="19"/>
      <c r="B40" s="19"/>
      <c r="C40" s="19"/>
      <c r="D40" s="19"/>
      <c r="E40" s="19"/>
      <c r="F40" s="19"/>
      <c r="G40" s="19"/>
      <c r="I40" s="19"/>
      <c r="J40" s="19"/>
      <c r="K40" s="19"/>
      <c r="L40" s="19"/>
      <c r="M40" s="19"/>
      <c r="N40" s="19"/>
      <c r="O40" s="19"/>
    </row>
    <row r="41" spans="1:15" hidden="1" x14ac:dyDescent="0.3">
      <c r="A41" s="19"/>
      <c r="B41" s="19"/>
      <c r="C41" s="19"/>
      <c r="D41" s="19"/>
      <c r="E41" s="19"/>
      <c r="F41" s="19"/>
      <c r="G41" s="19"/>
      <c r="I41" s="19"/>
      <c r="J41" s="19"/>
      <c r="K41" s="19"/>
      <c r="L41" s="19"/>
      <c r="M41" s="19"/>
      <c r="N41" s="19"/>
      <c r="O41" s="19"/>
    </row>
    <row r="42" spans="1:15" hidden="1" x14ac:dyDescent="0.3">
      <c r="A42" s="19"/>
      <c r="B42" s="19"/>
      <c r="C42" s="19"/>
      <c r="D42" s="19"/>
      <c r="E42" s="19"/>
      <c r="F42" s="19"/>
      <c r="G42" s="19"/>
      <c r="I42" s="19"/>
      <c r="J42" s="19"/>
      <c r="K42" s="19"/>
      <c r="L42" s="19"/>
      <c r="M42" s="19"/>
      <c r="N42" s="19"/>
      <c r="O42" s="19"/>
    </row>
    <row r="43" spans="1:15" hidden="1" x14ac:dyDescent="0.3">
      <c r="A43" s="19"/>
      <c r="B43" s="19"/>
      <c r="C43" s="19"/>
      <c r="D43" s="19"/>
      <c r="E43" s="19"/>
      <c r="F43" s="19"/>
      <c r="G43" s="19"/>
      <c r="I43" s="19"/>
      <c r="J43" s="19"/>
      <c r="K43" s="19"/>
      <c r="L43" s="19"/>
      <c r="M43" s="19"/>
      <c r="N43" s="19"/>
      <c r="O43" s="19"/>
    </row>
    <row r="44" spans="1:15" hidden="1" x14ac:dyDescent="0.3">
      <c r="A44" s="19"/>
      <c r="B44" s="19"/>
      <c r="C44" s="19"/>
      <c r="D44" s="19"/>
      <c r="E44" s="19"/>
      <c r="F44" s="19"/>
      <c r="G44" s="19"/>
      <c r="I44" s="19"/>
      <c r="J44" s="19"/>
      <c r="K44" s="19"/>
      <c r="L44" s="19"/>
      <c r="M44" s="19"/>
      <c r="N44" s="19"/>
      <c r="O44" s="19"/>
    </row>
    <row r="45" spans="1:15" hidden="1" x14ac:dyDescent="0.3">
      <c r="A45" s="19"/>
      <c r="B45" s="19"/>
      <c r="C45" s="19"/>
      <c r="D45" s="19"/>
      <c r="E45" s="19"/>
      <c r="F45" s="19"/>
      <c r="G45" s="19"/>
      <c r="I45" s="19"/>
      <c r="J45" s="19"/>
      <c r="K45" s="19"/>
      <c r="L45" s="19"/>
      <c r="M45" s="19"/>
      <c r="N45" s="19"/>
      <c r="O45" s="19"/>
    </row>
    <row r="46" spans="1:15" hidden="1" x14ac:dyDescent="0.3">
      <c r="A46" s="19"/>
      <c r="B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N46" s="19"/>
      <c r="O46" s="19"/>
    </row>
    <row r="47" spans="1:15" hidden="1" x14ac:dyDescent="0.3">
      <c r="A47" s="19"/>
      <c r="B47" s="19"/>
      <c r="C47" s="19"/>
      <c r="D47" s="19"/>
      <c r="E47" s="19"/>
      <c r="F47" s="19"/>
      <c r="G47" s="19"/>
      <c r="I47" s="19"/>
      <c r="J47" s="19"/>
      <c r="K47" s="19"/>
      <c r="L47" s="19"/>
      <c r="M47" s="19"/>
      <c r="N47" s="19"/>
      <c r="O47" s="19"/>
    </row>
    <row r="48" spans="1:15" hidden="1" x14ac:dyDescent="0.3">
      <c r="A48" s="19"/>
      <c r="B48" s="19"/>
      <c r="C48" s="19"/>
      <c r="D48" s="19"/>
      <c r="E48" s="19"/>
      <c r="F48" s="19"/>
      <c r="G48" s="19"/>
      <c r="I48" s="19"/>
      <c r="J48" s="19"/>
      <c r="K48" s="19"/>
      <c r="L48" s="19"/>
      <c r="M48" s="19"/>
      <c r="N48" s="19"/>
      <c r="O48" s="19"/>
    </row>
    <row r="49" spans="1:15" hidden="1" x14ac:dyDescent="0.3">
      <c r="A49" s="19"/>
      <c r="B49" s="19"/>
      <c r="C49" s="19"/>
      <c r="D49" s="19"/>
      <c r="E49" s="19"/>
      <c r="F49" s="19"/>
      <c r="G49" s="19"/>
      <c r="I49" s="19"/>
      <c r="J49" s="19"/>
      <c r="K49" s="19"/>
      <c r="L49" s="19"/>
      <c r="M49" s="19"/>
      <c r="N49" s="19"/>
      <c r="O49" s="19"/>
    </row>
    <row r="50" spans="1:15" hidden="1" x14ac:dyDescent="0.3">
      <c r="A50" s="19"/>
      <c r="B50" s="19"/>
      <c r="C50" s="19"/>
      <c r="D50" s="19"/>
      <c r="E50" s="19"/>
      <c r="F50" s="19"/>
      <c r="G50" s="19"/>
      <c r="I50" s="19"/>
      <c r="J50" s="19"/>
      <c r="K50" s="19"/>
      <c r="L50" s="19"/>
      <c r="M50" s="19"/>
      <c r="N50" s="19"/>
      <c r="O50" s="19"/>
    </row>
    <row r="51" spans="1:15" hidden="1" x14ac:dyDescent="0.3">
      <c r="A51" s="19"/>
      <c r="B51" s="19"/>
      <c r="C51" s="19"/>
      <c r="D51" s="19"/>
      <c r="E51" s="19"/>
      <c r="F51" s="19"/>
      <c r="G51" s="19"/>
      <c r="I51" s="19"/>
      <c r="J51" s="19"/>
      <c r="K51" s="19"/>
      <c r="L51" s="19"/>
      <c r="M51" s="19"/>
      <c r="N51" s="19"/>
      <c r="O51" s="19"/>
    </row>
    <row r="52" spans="1:15" hidden="1" x14ac:dyDescent="0.3">
      <c r="A52" s="19"/>
      <c r="B52" s="19"/>
      <c r="C52" s="19"/>
      <c r="D52" s="19"/>
      <c r="E52" s="19"/>
      <c r="F52" s="19"/>
      <c r="G52" s="19"/>
      <c r="I52" s="19"/>
      <c r="J52" s="19"/>
      <c r="K52" s="19"/>
      <c r="L52" s="19"/>
      <c r="M52" s="19"/>
      <c r="N52" s="19"/>
      <c r="O52" s="19"/>
    </row>
    <row r="53" spans="1:15" hidden="1" x14ac:dyDescent="0.3">
      <c r="A53" s="19"/>
      <c r="B53" s="19"/>
      <c r="C53" s="19"/>
      <c r="D53" s="19"/>
      <c r="E53" s="19"/>
      <c r="F53" s="19"/>
      <c r="G53" s="19"/>
      <c r="I53" s="19"/>
      <c r="J53" s="19"/>
      <c r="K53" s="19"/>
      <c r="L53" s="19"/>
      <c r="M53" s="19"/>
      <c r="N53" s="19"/>
      <c r="O53" s="19"/>
    </row>
    <row r="54" spans="1:15" hidden="1" x14ac:dyDescent="0.3">
      <c r="A54" s="19"/>
      <c r="B54" s="19"/>
      <c r="C54" s="19"/>
      <c r="D54" s="19"/>
      <c r="E54" s="19"/>
      <c r="F54" s="19"/>
      <c r="G54" s="19"/>
      <c r="I54" s="19"/>
      <c r="J54" s="19"/>
      <c r="K54" s="19"/>
      <c r="L54" s="19"/>
      <c r="M54" s="19"/>
      <c r="N54" s="19"/>
      <c r="O54" s="19"/>
    </row>
    <row r="55" spans="1:15" hidden="1" x14ac:dyDescent="0.3">
      <c r="A55" s="19"/>
      <c r="B55" s="19"/>
      <c r="C55" s="19"/>
      <c r="D55" s="19"/>
      <c r="E55" s="19"/>
      <c r="F55" s="19"/>
      <c r="G55" s="19"/>
      <c r="I55" s="19"/>
      <c r="J55" s="19"/>
      <c r="K55" s="19"/>
      <c r="L55" s="19"/>
      <c r="M55" s="19"/>
      <c r="N55" s="19"/>
      <c r="O55" s="19"/>
    </row>
    <row r="56" spans="1:15" hidden="1" x14ac:dyDescent="0.3">
      <c r="A56" s="19"/>
      <c r="B56" s="19"/>
      <c r="C56" s="19"/>
      <c r="D56" s="19"/>
      <c r="E56" s="19"/>
      <c r="F56" s="19"/>
      <c r="G56" s="19"/>
      <c r="I56" s="19"/>
      <c r="J56" s="19"/>
      <c r="K56" s="19"/>
      <c r="L56" s="19"/>
      <c r="M56" s="19"/>
      <c r="N56" s="19"/>
      <c r="O56" s="19"/>
    </row>
    <row r="57" spans="1:15" hidden="1" x14ac:dyDescent="0.3">
      <c r="A57" s="19"/>
      <c r="B57" s="19"/>
      <c r="C57" s="19"/>
      <c r="D57" s="19"/>
      <c r="E57" s="19"/>
      <c r="F57" s="19"/>
      <c r="G57" s="19"/>
      <c r="I57" s="19"/>
      <c r="J57" s="19"/>
      <c r="K57" s="19"/>
      <c r="L57" s="19"/>
      <c r="M57" s="19"/>
      <c r="N57" s="19"/>
      <c r="O57" s="19"/>
    </row>
    <row r="58" spans="1:15" hidden="1" x14ac:dyDescent="0.3">
      <c r="A58" s="19"/>
      <c r="B58" s="19"/>
      <c r="C58" s="19"/>
      <c r="D58" s="19"/>
      <c r="E58" s="19"/>
      <c r="F58" s="19"/>
      <c r="G58" s="19"/>
      <c r="I58" s="19"/>
      <c r="J58" s="19"/>
      <c r="K58" s="19"/>
      <c r="L58" s="19"/>
      <c r="M58" s="19"/>
      <c r="N58" s="19"/>
      <c r="O58" s="19"/>
    </row>
    <row r="59" spans="1:15" hidden="1" x14ac:dyDescent="0.3">
      <c r="A59" s="19"/>
      <c r="B59" s="19"/>
      <c r="C59" s="19"/>
      <c r="D59" s="19"/>
      <c r="E59" s="19"/>
      <c r="F59" s="19"/>
      <c r="G59" s="19"/>
      <c r="I59" s="19"/>
      <c r="J59" s="19"/>
      <c r="K59" s="19"/>
      <c r="L59" s="19"/>
      <c r="M59" s="19"/>
      <c r="N59" s="19"/>
      <c r="O59" s="19"/>
    </row>
    <row r="60" spans="1:15" hidden="1" x14ac:dyDescent="0.3">
      <c r="A60" s="19"/>
      <c r="B60" s="19"/>
      <c r="C60" s="19"/>
      <c r="D60" s="19"/>
      <c r="E60" s="19"/>
      <c r="F60" s="19"/>
      <c r="G60" s="19"/>
      <c r="I60" s="19"/>
      <c r="J60" s="19"/>
      <c r="K60" s="19"/>
      <c r="L60" s="19"/>
      <c r="M60" s="19"/>
      <c r="N60" s="19"/>
      <c r="O60" s="19"/>
    </row>
    <row r="61" spans="1:15" hidden="1" x14ac:dyDescent="0.3">
      <c r="A61" s="19"/>
      <c r="B61" s="19"/>
      <c r="C61" s="19"/>
      <c r="D61" s="19"/>
      <c r="E61" s="19"/>
      <c r="F61" s="19"/>
      <c r="G61" s="19"/>
      <c r="I61" s="19"/>
      <c r="J61" s="19"/>
      <c r="K61" s="19"/>
      <c r="L61" s="19"/>
      <c r="M61" s="19"/>
      <c r="N61" s="19"/>
      <c r="O61" s="19"/>
    </row>
    <row r="62" spans="1:15" hidden="1" x14ac:dyDescent="0.3">
      <c r="A62" s="19"/>
      <c r="B62" s="19"/>
      <c r="C62" s="19"/>
      <c r="D62" s="19"/>
      <c r="E62" s="19"/>
      <c r="F62" s="19"/>
      <c r="G62" s="19"/>
      <c r="I62" s="19"/>
      <c r="J62" s="19"/>
      <c r="K62" s="19"/>
      <c r="L62" s="19"/>
      <c r="M62" s="19"/>
      <c r="N62" s="19"/>
      <c r="O62" s="19"/>
    </row>
    <row r="63" spans="1:15" hidden="1" x14ac:dyDescent="0.3">
      <c r="A63" s="19"/>
      <c r="B63" s="19"/>
      <c r="C63" s="19"/>
      <c r="D63" s="19"/>
      <c r="E63" s="19"/>
      <c r="F63" s="19"/>
      <c r="G63" s="19"/>
      <c r="I63" s="19"/>
      <c r="J63" s="19"/>
      <c r="K63" s="19"/>
      <c r="L63" s="19"/>
      <c r="M63" s="19"/>
      <c r="N63" s="19"/>
      <c r="O63" s="19"/>
    </row>
    <row r="64" spans="1:15" hidden="1" x14ac:dyDescent="0.3">
      <c r="A64" s="19"/>
      <c r="B64" s="19"/>
      <c r="C64" s="19"/>
      <c r="D64" s="19"/>
      <c r="E64" s="19"/>
      <c r="F64" s="19"/>
      <c r="G64" s="19"/>
      <c r="I64" s="19"/>
      <c r="J64" s="19"/>
      <c r="K64" s="19"/>
      <c r="L64" s="19"/>
      <c r="M64" s="19"/>
      <c r="N64" s="19"/>
      <c r="O64" s="19"/>
    </row>
    <row r="65" spans="1:15" hidden="1" x14ac:dyDescent="0.3">
      <c r="A65" s="19"/>
      <c r="B65" s="19"/>
      <c r="C65" s="19"/>
      <c r="D65" s="19"/>
      <c r="E65" s="19"/>
      <c r="F65" s="19"/>
      <c r="G65" s="19"/>
      <c r="I65" s="19"/>
      <c r="J65" s="19"/>
      <c r="K65" s="19"/>
      <c r="L65" s="19"/>
      <c r="M65" s="19"/>
      <c r="N65" s="19"/>
      <c r="O65" s="19"/>
    </row>
    <row r="66" spans="1:15" hidden="1" x14ac:dyDescent="0.3">
      <c r="A66" s="19"/>
      <c r="B66" s="19"/>
      <c r="C66" s="19"/>
      <c r="D66" s="19"/>
      <c r="E66" s="19"/>
      <c r="F66" s="19"/>
      <c r="G66" s="19"/>
      <c r="I66" s="19"/>
      <c r="J66" s="19"/>
      <c r="K66" s="19"/>
      <c r="L66" s="19"/>
      <c r="M66" s="19"/>
      <c r="N66" s="19"/>
      <c r="O66" s="19"/>
    </row>
    <row r="67" spans="1:15" hidden="1" x14ac:dyDescent="0.3">
      <c r="A67" s="19"/>
      <c r="B67" s="19"/>
      <c r="C67" s="19"/>
      <c r="D67" s="19"/>
      <c r="E67" s="19"/>
      <c r="F67" s="19"/>
      <c r="G67" s="19"/>
      <c r="I67" s="19"/>
      <c r="J67" s="19"/>
      <c r="K67" s="19"/>
      <c r="L67" s="19"/>
      <c r="M67" s="19"/>
      <c r="N67" s="19"/>
      <c r="O67" s="19"/>
    </row>
    <row r="68" spans="1:15" hidden="1" x14ac:dyDescent="0.3">
      <c r="A68" s="19"/>
      <c r="B68" s="19"/>
      <c r="C68" s="19"/>
      <c r="D68" s="19"/>
      <c r="E68" s="19"/>
      <c r="F68" s="19"/>
      <c r="G68" s="19"/>
      <c r="I68" s="19"/>
      <c r="J68" s="19"/>
      <c r="K68" s="19"/>
      <c r="L68" s="19"/>
      <c r="M68" s="19"/>
      <c r="N68" s="19"/>
      <c r="O68" s="19"/>
    </row>
    <row r="69" spans="1:15" hidden="1" x14ac:dyDescent="0.3">
      <c r="A69" s="19"/>
      <c r="B69" s="19"/>
      <c r="C69" s="19"/>
      <c r="D69" s="19"/>
      <c r="E69" s="19"/>
      <c r="F69" s="19"/>
      <c r="G69" s="19"/>
      <c r="I69" s="19"/>
      <c r="J69" s="19"/>
      <c r="K69" s="19"/>
      <c r="L69" s="19"/>
      <c r="M69" s="19"/>
      <c r="N69" s="19"/>
      <c r="O69" s="19"/>
    </row>
    <row r="70" spans="1:15" hidden="1" x14ac:dyDescent="0.3">
      <c r="A70" s="19"/>
      <c r="B70" s="19"/>
      <c r="C70" s="19"/>
      <c r="D70" s="19"/>
      <c r="E70" s="19"/>
      <c r="F70" s="19"/>
      <c r="G70" s="19"/>
      <c r="I70" s="19"/>
      <c r="J70" s="19"/>
      <c r="K70" s="19"/>
      <c r="L70" s="19"/>
      <c r="M70" s="19"/>
      <c r="N70" s="19"/>
      <c r="O70" s="19"/>
    </row>
    <row r="71" spans="1:15" hidden="1" x14ac:dyDescent="0.3">
      <c r="A71" s="19"/>
      <c r="B71" s="19"/>
      <c r="C71" s="19"/>
      <c r="D71" s="19"/>
      <c r="E71" s="19"/>
      <c r="F71" s="19"/>
      <c r="G71" s="19"/>
      <c r="I71" s="19"/>
      <c r="J71" s="19"/>
      <c r="K71" s="19"/>
      <c r="L71" s="19"/>
      <c r="M71" s="19"/>
      <c r="N71" s="19"/>
      <c r="O71" s="19"/>
    </row>
    <row r="72" spans="1:15" hidden="1" x14ac:dyDescent="0.3">
      <c r="A72" s="19"/>
      <c r="B72" s="19"/>
      <c r="C72" s="19"/>
      <c r="D72" s="19"/>
      <c r="E72" s="19"/>
      <c r="F72" s="19"/>
      <c r="G72" s="19"/>
      <c r="I72" s="19"/>
      <c r="J72" s="19"/>
      <c r="K72" s="19"/>
      <c r="L72" s="19"/>
      <c r="M72" s="19"/>
      <c r="N72" s="19"/>
      <c r="O72" s="19"/>
    </row>
    <row r="73" spans="1:15" hidden="1" x14ac:dyDescent="0.3">
      <c r="A73" s="19"/>
      <c r="B73" s="19"/>
      <c r="C73" s="19"/>
      <c r="D73" s="19"/>
      <c r="E73" s="19"/>
      <c r="F73" s="19"/>
      <c r="G73" s="19"/>
      <c r="I73" s="19"/>
      <c r="J73" s="19"/>
      <c r="K73" s="19"/>
      <c r="L73" s="19"/>
      <c r="M73" s="19"/>
      <c r="N73" s="19"/>
      <c r="O73" s="19"/>
    </row>
    <row r="74" spans="1:15" hidden="1" x14ac:dyDescent="0.3">
      <c r="A74" s="19"/>
      <c r="B74" s="19"/>
      <c r="C74" s="19"/>
      <c r="D74" s="19"/>
      <c r="E74" s="19"/>
      <c r="F74" s="19"/>
      <c r="G74" s="19"/>
      <c r="I74" s="19"/>
      <c r="J74" s="19"/>
      <c r="K74" s="19"/>
      <c r="L74" s="19"/>
      <c r="M74" s="19"/>
      <c r="N74" s="19"/>
      <c r="O74" s="19"/>
    </row>
    <row r="75" spans="1:15" hidden="1" x14ac:dyDescent="0.3">
      <c r="A75" s="19"/>
      <c r="B75" s="19"/>
      <c r="C75" s="19"/>
      <c r="D75" s="19"/>
      <c r="E75" s="19"/>
      <c r="F75" s="19"/>
      <c r="G75" s="19"/>
      <c r="I75" s="19"/>
      <c r="J75" s="19"/>
      <c r="K75" s="19"/>
      <c r="L75" s="19"/>
      <c r="M75" s="19"/>
      <c r="N75" s="19"/>
      <c r="O75" s="19"/>
    </row>
    <row r="76" spans="1:15" hidden="1" x14ac:dyDescent="0.3">
      <c r="A76" s="19"/>
      <c r="B76" s="19"/>
      <c r="C76" s="19"/>
      <c r="D76" s="19"/>
      <c r="E76" s="19"/>
      <c r="F76" s="19"/>
      <c r="G76" s="19"/>
      <c r="I76" s="19"/>
      <c r="J76" s="19"/>
      <c r="K76" s="19"/>
      <c r="L76" s="19"/>
      <c r="M76" s="19"/>
      <c r="N76" s="19"/>
      <c r="O76" s="19"/>
    </row>
    <row r="77" spans="1:15" hidden="1" x14ac:dyDescent="0.3">
      <c r="A77" s="19"/>
      <c r="B77" s="19"/>
      <c r="C77" s="19"/>
      <c r="D77" s="19"/>
      <c r="E77" s="19"/>
      <c r="F77" s="19"/>
      <c r="G77" s="19"/>
      <c r="I77" s="19"/>
      <c r="J77" s="19"/>
      <c r="K77" s="19"/>
      <c r="L77" s="19"/>
      <c r="M77" s="19"/>
      <c r="N77" s="19"/>
      <c r="O77" s="19"/>
    </row>
    <row r="78" spans="1:15" hidden="1" x14ac:dyDescent="0.3">
      <c r="A78" s="19"/>
      <c r="B78" s="19"/>
      <c r="C78" s="19"/>
      <c r="D78" s="19"/>
      <c r="E78" s="19"/>
      <c r="F78" s="19"/>
      <c r="G78" s="19"/>
      <c r="I78" s="19"/>
      <c r="J78" s="19"/>
      <c r="K78" s="19"/>
      <c r="L78" s="19"/>
      <c r="M78" s="19"/>
      <c r="N78" s="19"/>
      <c r="O78" s="19"/>
    </row>
    <row r="79" spans="1:15" hidden="1" x14ac:dyDescent="0.3">
      <c r="A79" s="19"/>
      <c r="B79" s="19"/>
      <c r="C79" s="19"/>
      <c r="D79" s="19"/>
      <c r="E79" s="19"/>
      <c r="F79" s="19"/>
      <c r="G79" s="19"/>
      <c r="I79" s="19"/>
      <c r="J79" s="19"/>
      <c r="K79" s="19"/>
      <c r="L79" s="19"/>
      <c r="M79" s="19"/>
      <c r="N79" s="19"/>
      <c r="O79" s="19"/>
    </row>
    <row r="80" spans="1:15" hidden="1" x14ac:dyDescent="0.3">
      <c r="A80" s="19"/>
      <c r="B80" s="19"/>
      <c r="C80" s="19"/>
      <c r="D80" s="19"/>
      <c r="E80" s="19"/>
      <c r="F80" s="19"/>
      <c r="G80" s="19"/>
      <c r="I80" s="19"/>
      <c r="J80" s="19"/>
      <c r="K80" s="19"/>
      <c r="L80" s="19"/>
      <c r="M80" s="19"/>
      <c r="N80" s="19"/>
      <c r="O80" s="19"/>
    </row>
    <row r="81" spans="1:15" hidden="1" x14ac:dyDescent="0.3">
      <c r="A81" s="19"/>
      <c r="B81" s="19"/>
      <c r="C81" s="19"/>
      <c r="D81" s="19"/>
      <c r="E81" s="19"/>
      <c r="F81" s="19"/>
      <c r="G81" s="19"/>
      <c r="I81" s="19"/>
      <c r="J81" s="19"/>
      <c r="K81" s="19"/>
      <c r="L81" s="19"/>
      <c r="M81" s="19"/>
      <c r="N81" s="19"/>
      <c r="O81" s="19"/>
    </row>
    <row r="82" spans="1:15" hidden="1" x14ac:dyDescent="0.3">
      <c r="A82" s="19"/>
      <c r="B82" s="19"/>
      <c r="C82" s="19"/>
      <c r="D82" s="19"/>
      <c r="E82" s="19"/>
      <c r="F82" s="19"/>
      <c r="G82" s="19"/>
      <c r="I82" s="19"/>
      <c r="J82" s="19"/>
      <c r="K82" s="19"/>
      <c r="L82" s="19"/>
      <c r="M82" s="19"/>
      <c r="N82" s="19"/>
      <c r="O82" s="19"/>
    </row>
    <row r="83" spans="1:15" hidden="1" x14ac:dyDescent="0.3">
      <c r="A83" s="19"/>
      <c r="B83" s="19"/>
      <c r="C83" s="19"/>
      <c r="D83" s="19"/>
      <c r="E83" s="19"/>
      <c r="F83" s="19"/>
      <c r="G83" s="19"/>
      <c r="I83" s="19"/>
      <c r="J83" s="19"/>
      <c r="K83" s="19"/>
      <c r="L83" s="19"/>
      <c r="M83" s="19"/>
      <c r="N83" s="19"/>
      <c r="O83" s="19"/>
    </row>
    <row r="84" spans="1:15" hidden="1" x14ac:dyDescent="0.3">
      <c r="A84" s="19"/>
      <c r="B84" s="19"/>
      <c r="C84" s="19"/>
      <c r="D84" s="19"/>
      <c r="E84" s="19"/>
      <c r="F84" s="19"/>
      <c r="G84" s="19"/>
      <c r="I84" s="19"/>
      <c r="J84" s="19"/>
      <c r="K84" s="19"/>
      <c r="L84" s="19"/>
      <c r="M84" s="19"/>
      <c r="N84" s="19"/>
      <c r="O84" s="19"/>
    </row>
    <row r="85" spans="1:15" hidden="1" x14ac:dyDescent="0.3">
      <c r="A85" s="19"/>
      <c r="B85" s="19"/>
      <c r="C85" s="19"/>
      <c r="D85" s="19"/>
      <c r="E85" s="19"/>
      <c r="F85" s="19"/>
      <c r="G85" s="19"/>
      <c r="I85" s="19"/>
      <c r="J85" s="19"/>
      <c r="K85" s="19"/>
      <c r="L85" s="19"/>
      <c r="M85" s="19"/>
      <c r="N85" s="19"/>
      <c r="O85" s="19"/>
    </row>
    <row r="86" spans="1:15" hidden="1" x14ac:dyDescent="0.3">
      <c r="A86" s="19"/>
      <c r="B86" s="19"/>
      <c r="C86" s="19"/>
      <c r="D86" s="19"/>
      <c r="E86" s="19"/>
      <c r="F86" s="19"/>
      <c r="G86" s="19"/>
      <c r="I86" s="19"/>
      <c r="J86" s="19"/>
      <c r="K86" s="19"/>
      <c r="L86" s="19"/>
      <c r="M86" s="19"/>
      <c r="N86" s="19"/>
      <c r="O86" s="19"/>
    </row>
    <row r="87" spans="1:15" hidden="1" x14ac:dyDescent="0.3">
      <c r="A87" s="19"/>
      <c r="B87" s="19"/>
      <c r="C87" s="19"/>
      <c r="D87" s="19"/>
      <c r="E87" s="19"/>
      <c r="F87" s="19"/>
      <c r="G87" s="19"/>
      <c r="I87" s="19"/>
      <c r="J87" s="19"/>
      <c r="K87" s="19"/>
      <c r="L87" s="19"/>
      <c r="M87" s="19"/>
      <c r="N87" s="19"/>
      <c r="O87" s="19"/>
    </row>
    <row r="88" spans="1:15" hidden="1" x14ac:dyDescent="0.3">
      <c r="A88" s="19"/>
      <c r="B88" s="19"/>
      <c r="C88" s="19"/>
      <c r="D88" s="19"/>
      <c r="E88" s="19"/>
      <c r="F88" s="19"/>
      <c r="G88" s="19"/>
      <c r="I88" s="19"/>
      <c r="J88" s="19"/>
      <c r="K88" s="19"/>
      <c r="L88" s="19"/>
      <c r="M88" s="19"/>
      <c r="N88" s="19"/>
      <c r="O88" s="19"/>
    </row>
    <row r="89" spans="1:15" hidden="1" x14ac:dyDescent="0.3">
      <c r="A89" s="19"/>
      <c r="B89" s="19"/>
      <c r="C89" s="19"/>
      <c r="D89" s="19"/>
      <c r="E89" s="19"/>
      <c r="F89" s="19"/>
      <c r="G89" s="19"/>
      <c r="I89" s="19"/>
      <c r="J89" s="19"/>
      <c r="K89" s="19"/>
      <c r="L89" s="19"/>
      <c r="M89" s="19"/>
      <c r="N89" s="19"/>
      <c r="O89" s="19"/>
    </row>
    <row r="90" spans="1:15" hidden="1" x14ac:dyDescent="0.3">
      <c r="A90" s="19"/>
      <c r="B90" s="19"/>
      <c r="C90" s="19"/>
      <c r="D90" s="19"/>
      <c r="E90" s="19"/>
      <c r="F90" s="19"/>
      <c r="G90" s="19"/>
      <c r="I90" s="19"/>
      <c r="J90" s="19"/>
      <c r="K90" s="19"/>
      <c r="L90" s="19"/>
      <c r="M90" s="19"/>
      <c r="N90" s="19"/>
      <c r="O90" s="19"/>
    </row>
    <row r="91" spans="1:15" hidden="1" x14ac:dyDescent="0.3">
      <c r="A91" s="19"/>
      <c r="B91" s="19"/>
      <c r="C91" s="19"/>
      <c r="D91" s="19"/>
      <c r="E91" s="19"/>
      <c r="F91" s="19"/>
      <c r="G91" s="19"/>
      <c r="I91" s="19"/>
      <c r="J91" s="19"/>
      <c r="K91" s="19"/>
      <c r="L91" s="19"/>
      <c r="M91" s="19"/>
      <c r="N91" s="19"/>
      <c r="O91" s="19"/>
    </row>
    <row r="92" spans="1:15" hidden="1" x14ac:dyDescent="0.3">
      <c r="A92" s="19"/>
      <c r="B92" s="19"/>
      <c r="C92" s="19"/>
      <c r="D92" s="19"/>
      <c r="E92" s="19"/>
      <c r="F92" s="19"/>
      <c r="G92" s="19"/>
      <c r="I92" s="19"/>
      <c r="J92" s="19"/>
      <c r="K92" s="19"/>
      <c r="L92" s="19"/>
      <c r="M92" s="19"/>
      <c r="N92" s="19"/>
      <c r="O92" s="19"/>
    </row>
    <row r="93" spans="1:15" hidden="1" x14ac:dyDescent="0.3">
      <c r="A93" s="19"/>
      <c r="B93" s="19"/>
      <c r="C93" s="19"/>
      <c r="D93" s="19"/>
      <c r="E93" s="19"/>
      <c r="F93" s="19"/>
      <c r="G93" s="19"/>
      <c r="I93" s="19"/>
      <c r="J93" s="19"/>
      <c r="K93" s="19"/>
      <c r="L93" s="19"/>
      <c r="M93" s="19"/>
      <c r="N93" s="19"/>
      <c r="O93" s="19"/>
    </row>
    <row r="94" spans="1:15" hidden="1" x14ac:dyDescent="0.3">
      <c r="A94" s="19"/>
      <c r="B94" s="19"/>
      <c r="C94" s="19"/>
      <c r="D94" s="19"/>
      <c r="E94" s="19"/>
      <c r="F94" s="19"/>
      <c r="G94" s="19"/>
      <c r="I94" s="19"/>
      <c r="J94" s="19"/>
      <c r="K94" s="19"/>
      <c r="L94" s="19"/>
      <c r="M94" s="19"/>
      <c r="N94" s="19"/>
      <c r="O94" s="19"/>
    </row>
    <row r="95" spans="1:15" hidden="1" x14ac:dyDescent="0.3">
      <c r="A95" s="19"/>
      <c r="B95" s="19"/>
      <c r="C95" s="19"/>
      <c r="D95" s="19"/>
      <c r="E95" s="19"/>
      <c r="F95" s="19"/>
      <c r="G95" s="19"/>
      <c r="I95" s="19"/>
      <c r="J95" s="19"/>
      <c r="K95" s="19"/>
      <c r="L95" s="19"/>
      <c r="M95" s="19"/>
      <c r="N95" s="19"/>
      <c r="O95" s="19"/>
    </row>
    <row r="96" spans="1:15" hidden="1" x14ac:dyDescent="0.3">
      <c r="A96" s="19"/>
      <c r="B96" s="19"/>
      <c r="C96" s="19"/>
      <c r="D96" s="19"/>
      <c r="E96" s="19"/>
      <c r="F96" s="19"/>
      <c r="G96" s="19"/>
      <c r="I96" s="19"/>
      <c r="J96" s="19"/>
      <c r="K96" s="19"/>
      <c r="L96" s="19"/>
      <c r="M96" s="19"/>
      <c r="N96" s="19"/>
      <c r="O96" s="19"/>
    </row>
    <row r="97" spans="1:15" hidden="1" x14ac:dyDescent="0.3">
      <c r="A97" s="19"/>
      <c r="B97" s="19"/>
      <c r="C97" s="19"/>
      <c r="D97" s="19"/>
      <c r="E97" s="19"/>
      <c r="F97" s="19"/>
      <c r="G97" s="19"/>
      <c r="I97" s="19"/>
      <c r="J97" s="19"/>
      <c r="K97" s="19"/>
      <c r="L97" s="19"/>
      <c r="M97" s="19"/>
      <c r="N97" s="19"/>
      <c r="O97" s="19"/>
    </row>
    <row r="98" spans="1:15" hidden="1" x14ac:dyDescent="0.3">
      <c r="A98" s="19"/>
      <c r="B98" s="19"/>
      <c r="C98" s="19"/>
      <c r="D98" s="19"/>
      <c r="E98" s="19"/>
      <c r="F98" s="19"/>
      <c r="G98" s="19"/>
      <c r="I98" s="19"/>
      <c r="J98" s="19"/>
      <c r="K98" s="19"/>
      <c r="L98" s="19"/>
      <c r="M98" s="19"/>
      <c r="N98" s="19"/>
      <c r="O98" s="19"/>
    </row>
    <row r="99" spans="1:15" hidden="1" x14ac:dyDescent="0.3">
      <c r="A99" s="19"/>
      <c r="B99" s="19"/>
      <c r="C99" s="19"/>
      <c r="D99" s="19"/>
      <c r="E99" s="19"/>
      <c r="F99" s="19"/>
      <c r="G99" s="19"/>
      <c r="I99" s="19"/>
      <c r="J99" s="19"/>
      <c r="K99" s="19"/>
      <c r="L99" s="19"/>
      <c r="M99" s="19"/>
      <c r="N99" s="19"/>
      <c r="O99" s="19"/>
    </row>
    <row r="100" spans="1:15" hidden="1" x14ac:dyDescent="0.3">
      <c r="A100" s="19"/>
      <c r="B100" s="19"/>
      <c r="C100" s="19"/>
      <c r="D100" s="19"/>
      <c r="E100" s="19"/>
      <c r="F100" s="19"/>
      <c r="G100" s="19"/>
      <c r="I100" s="19"/>
      <c r="J100" s="19"/>
      <c r="K100" s="19"/>
      <c r="L100" s="19"/>
      <c r="M100" s="19"/>
      <c r="N100" s="19"/>
      <c r="O100" s="19"/>
    </row>
    <row r="101" spans="1:15" hidden="1" x14ac:dyDescent="0.3">
      <c r="A101" s="19"/>
      <c r="B101" s="19"/>
      <c r="C101" s="19"/>
      <c r="D101" s="19"/>
      <c r="E101" s="19"/>
      <c r="F101" s="19"/>
      <c r="G101" s="19"/>
      <c r="I101" s="19"/>
      <c r="J101" s="19"/>
      <c r="K101" s="19"/>
      <c r="L101" s="19"/>
      <c r="M101" s="19"/>
      <c r="N101" s="19"/>
      <c r="O101" s="19"/>
    </row>
    <row r="102" spans="1:15" hidden="1" x14ac:dyDescent="0.3">
      <c r="A102" s="19"/>
      <c r="B102" s="19"/>
      <c r="C102" s="19"/>
      <c r="D102" s="19"/>
      <c r="E102" s="19"/>
      <c r="F102" s="19"/>
      <c r="G102" s="19"/>
      <c r="I102" s="19"/>
      <c r="J102" s="19"/>
      <c r="K102" s="19"/>
      <c r="L102" s="19"/>
      <c r="M102" s="19"/>
      <c r="N102" s="19"/>
      <c r="O102" s="19"/>
    </row>
    <row r="103" spans="1:15" hidden="1" x14ac:dyDescent="0.3">
      <c r="A103" s="19"/>
      <c r="B103" s="19"/>
      <c r="C103" s="19"/>
      <c r="D103" s="19"/>
      <c r="E103" s="19"/>
      <c r="F103" s="19"/>
      <c r="G103" s="19"/>
      <c r="I103" s="19"/>
      <c r="J103" s="19"/>
      <c r="K103" s="19"/>
      <c r="L103" s="19"/>
      <c r="M103" s="19"/>
      <c r="N103" s="19"/>
      <c r="O103" s="19"/>
    </row>
    <row r="104" spans="1:15" hidden="1" x14ac:dyDescent="0.3">
      <c r="A104" s="19"/>
      <c r="B104" s="19"/>
      <c r="C104" s="19"/>
      <c r="D104" s="19"/>
      <c r="E104" s="19"/>
      <c r="F104" s="19"/>
      <c r="G104" s="19"/>
      <c r="I104" s="19"/>
      <c r="J104" s="19"/>
      <c r="K104" s="19"/>
      <c r="L104" s="19"/>
      <c r="M104" s="19"/>
      <c r="N104" s="19"/>
      <c r="O104" s="19"/>
    </row>
    <row r="105" spans="1:15" hidden="1" x14ac:dyDescent="0.3">
      <c r="A105" s="19"/>
      <c r="B105" s="19"/>
      <c r="C105" s="19"/>
      <c r="D105" s="19"/>
      <c r="E105" s="19"/>
      <c r="F105" s="19"/>
      <c r="G105" s="19"/>
      <c r="I105" s="19"/>
      <c r="J105" s="19"/>
      <c r="K105" s="19"/>
      <c r="L105" s="19"/>
      <c r="M105" s="19"/>
      <c r="N105" s="19"/>
      <c r="O105" s="19"/>
    </row>
    <row r="106" spans="1:15" hidden="1" x14ac:dyDescent="0.3">
      <c r="A106" s="19"/>
      <c r="B106" s="19"/>
      <c r="C106" s="19"/>
      <c r="D106" s="19"/>
      <c r="E106" s="19"/>
      <c r="F106" s="19"/>
      <c r="G106" s="19"/>
      <c r="I106" s="19"/>
      <c r="J106" s="19"/>
      <c r="K106" s="19"/>
      <c r="L106" s="19"/>
      <c r="M106" s="19"/>
      <c r="N106" s="19"/>
      <c r="O106" s="19"/>
    </row>
    <row r="107" spans="1:15" hidden="1" x14ac:dyDescent="0.3">
      <c r="A107" s="19"/>
      <c r="B107" s="19"/>
      <c r="C107" s="19"/>
      <c r="D107" s="19"/>
      <c r="E107" s="19"/>
      <c r="F107" s="19"/>
      <c r="G107" s="19"/>
      <c r="I107" s="19"/>
      <c r="J107" s="19"/>
      <c r="K107" s="19"/>
      <c r="L107" s="19"/>
      <c r="M107" s="19"/>
      <c r="N107" s="19"/>
      <c r="O107" s="19"/>
    </row>
    <row r="108" spans="1:15" hidden="1" x14ac:dyDescent="0.3">
      <c r="A108" s="19"/>
      <c r="B108" s="19"/>
      <c r="C108" s="19"/>
      <c r="D108" s="19"/>
      <c r="E108" s="19"/>
      <c r="F108" s="19"/>
      <c r="G108" s="19"/>
      <c r="I108" s="19"/>
      <c r="J108" s="19"/>
      <c r="K108" s="19"/>
      <c r="L108" s="19"/>
      <c r="M108" s="19"/>
      <c r="N108" s="19"/>
      <c r="O108" s="19"/>
    </row>
    <row r="109" spans="1:15" hidden="1" x14ac:dyDescent="0.3">
      <c r="A109" s="19"/>
      <c r="B109" s="19"/>
      <c r="C109" s="19"/>
      <c r="D109" s="19"/>
      <c r="E109" s="19"/>
      <c r="F109" s="19"/>
      <c r="G109" s="19"/>
      <c r="I109" s="19"/>
      <c r="J109" s="19"/>
      <c r="K109" s="19"/>
      <c r="L109" s="19"/>
      <c r="M109" s="19"/>
      <c r="N109" s="19"/>
      <c r="O109" s="19"/>
    </row>
    <row r="110" spans="1:15" hidden="1" x14ac:dyDescent="0.3">
      <c r="A110" s="19"/>
      <c r="B110" s="19"/>
      <c r="C110" s="19"/>
      <c r="D110" s="19"/>
      <c r="E110" s="19"/>
      <c r="F110" s="19"/>
      <c r="G110" s="19"/>
      <c r="I110" s="19"/>
      <c r="J110" s="19"/>
      <c r="K110" s="19"/>
      <c r="L110" s="19"/>
      <c r="M110" s="19"/>
      <c r="N110" s="19"/>
      <c r="O110" s="19"/>
    </row>
    <row r="111" spans="1:15" hidden="1" x14ac:dyDescent="0.3">
      <c r="A111" s="19"/>
      <c r="B111" s="19"/>
      <c r="C111" s="19"/>
      <c r="D111" s="19"/>
      <c r="E111" s="19"/>
      <c r="F111" s="19"/>
      <c r="G111" s="19"/>
      <c r="I111" s="19"/>
      <c r="J111" s="19"/>
      <c r="K111" s="19"/>
      <c r="L111" s="19"/>
      <c r="M111" s="19"/>
      <c r="N111" s="19"/>
      <c r="O111" s="19"/>
    </row>
    <row r="112" spans="1:15" hidden="1" x14ac:dyDescent="0.3">
      <c r="A112" s="19"/>
      <c r="B112" s="19"/>
      <c r="C112" s="19"/>
      <c r="D112" s="19"/>
      <c r="E112" s="19"/>
      <c r="F112" s="19"/>
      <c r="G112" s="19"/>
      <c r="I112" s="19"/>
      <c r="J112" s="19"/>
      <c r="K112" s="19"/>
      <c r="L112" s="19"/>
      <c r="M112" s="19"/>
      <c r="N112" s="19"/>
      <c r="O112" s="19"/>
    </row>
    <row r="113" spans="1:15" hidden="1" x14ac:dyDescent="0.3">
      <c r="A113" s="19"/>
      <c r="B113" s="19"/>
      <c r="C113" s="19"/>
      <c r="D113" s="19"/>
      <c r="E113" s="19"/>
      <c r="F113" s="19"/>
      <c r="G113" s="19"/>
      <c r="I113" s="19"/>
      <c r="J113" s="19"/>
      <c r="K113" s="19"/>
      <c r="L113" s="19"/>
      <c r="M113" s="19"/>
      <c r="N113" s="19"/>
      <c r="O113" s="19"/>
    </row>
    <row r="114" spans="1:15" hidden="1" x14ac:dyDescent="0.3">
      <c r="A114" s="19"/>
      <c r="B114" s="19"/>
      <c r="C114" s="19"/>
      <c r="D114" s="19"/>
      <c r="E114" s="19"/>
      <c r="F114" s="19"/>
      <c r="G114" s="19"/>
      <c r="I114" s="19"/>
      <c r="J114" s="19"/>
      <c r="K114" s="19"/>
      <c r="L114" s="19"/>
      <c r="M114" s="19"/>
      <c r="N114" s="19"/>
      <c r="O114" s="19"/>
    </row>
    <row r="115" spans="1:15" hidden="1" x14ac:dyDescent="0.3">
      <c r="A115" s="19"/>
      <c r="B115" s="19"/>
      <c r="C115" s="19"/>
      <c r="D115" s="19"/>
      <c r="E115" s="19"/>
      <c r="F115" s="19"/>
      <c r="G115" s="19"/>
      <c r="I115" s="19"/>
      <c r="J115" s="19"/>
      <c r="K115" s="19"/>
      <c r="L115" s="19"/>
      <c r="M115" s="19"/>
      <c r="N115" s="19"/>
      <c r="O115" s="19"/>
    </row>
    <row r="116" spans="1:15" hidden="1" x14ac:dyDescent="0.3">
      <c r="A116" s="19"/>
      <c r="B116" s="19"/>
      <c r="C116" s="19"/>
      <c r="D116" s="19"/>
      <c r="E116" s="19"/>
      <c r="F116" s="19"/>
      <c r="G116" s="19"/>
      <c r="I116" s="19"/>
      <c r="J116" s="19"/>
      <c r="K116" s="19"/>
      <c r="L116" s="19"/>
      <c r="M116" s="19"/>
      <c r="N116" s="19"/>
      <c r="O116" s="19"/>
    </row>
    <row r="117" spans="1:15" hidden="1" x14ac:dyDescent="0.3">
      <c r="A117" s="19"/>
      <c r="B117" s="19"/>
      <c r="C117" s="19"/>
      <c r="D117" s="19"/>
      <c r="E117" s="19"/>
      <c r="F117" s="19"/>
      <c r="G117" s="19"/>
      <c r="I117" s="19"/>
      <c r="J117" s="19"/>
      <c r="K117" s="19"/>
      <c r="L117" s="19"/>
      <c r="M117" s="19"/>
      <c r="N117" s="19"/>
      <c r="O117" s="19"/>
    </row>
    <row r="118" spans="1:15" hidden="1" x14ac:dyDescent="0.3">
      <c r="A118" s="19"/>
      <c r="B118" s="19"/>
      <c r="C118" s="19"/>
      <c r="D118" s="19"/>
      <c r="E118" s="19"/>
      <c r="F118" s="19"/>
      <c r="G118" s="19"/>
      <c r="I118" s="19"/>
      <c r="J118" s="19"/>
      <c r="K118" s="19"/>
      <c r="L118" s="19"/>
      <c r="M118" s="19"/>
      <c r="N118" s="19"/>
      <c r="O118" s="19"/>
    </row>
    <row r="119" spans="1:15" hidden="1" x14ac:dyDescent="0.3">
      <c r="A119" s="19"/>
      <c r="B119" s="19"/>
      <c r="C119" s="19"/>
      <c r="D119" s="19"/>
      <c r="E119" s="19"/>
      <c r="F119" s="19"/>
      <c r="G119" s="19"/>
      <c r="I119" s="19"/>
      <c r="J119" s="19"/>
      <c r="K119" s="19"/>
      <c r="L119" s="19"/>
      <c r="M119" s="19"/>
      <c r="N119" s="19"/>
      <c r="O119" s="19"/>
    </row>
    <row r="120" spans="1:15" hidden="1" x14ac:dyDescent="0.3">
      <c r="A120" s="19"/>
      <c r="B120" s="19"/>
      <c r="C120" s="19"/>
      <c r="D120" s="19"/>
      <c r="E120" s="19"/>
      <c r="F120" s="19"/>
      <c r="G120" s="19"/>
      <c r="I120" s="19"/>
      <c r="J120" s="19"/>
      <c r="K120" s="19"/>
      <c r="L120" s="19"/>
      <c r="M120" s="19"/>
      <c r="N120" s="19"/>
      <c r="O120" s="19"/>
    </row>
    <row r="121" spans="1:15" hidden="1" x14ac:dyDescent="0.3">
      <c r="A121" s="19"/>
      <c r="B121" s="19"/>
      <c r="C121" s="19"/>
      <c r="D121" s="19"/>
      <c r="E121" s="19"/>
      <c r="F121" s="19"/>
      <c r="G121" s="19"/>
      <c r="I121" s="19"/>
      <c r="J121" s="19"/>
      <c r="K121" s="19"/>
      <c r="L121" s="19"/>
      <c r="M121" s="19"/>
      <c r="N121" s="19"/>
      <c r="O121" s="19"/>
    </row>
    <row r="122" spans="1:15" hidden="1" x14ac:dyDescent="0.3">
      <c r="A122" s="19"/>
      <c r="B122" s="19"/>
      <c r="C122" s="19"/>
      <c r="D122" s="19"/>
      <c r="E122" s="19"/>
      <c r="F122" s="19"/>
      <c r="G122" s="19"/>
      <c r="I122" s="19"/>
      <c r="J122" s="19"/>
      <c r="K122" s="19"/>
      <c r="L122" s="19"/>
      <c r="M122" s="19"/>
      <c r="N122" s="19"/>
      <c r="O122" s="19"/>
    </row>
    <row r="123" spans="1:15" hidden="1" x14ac:dyDescent="0.3">
      <c r="A123" s="19"/>
      <c r="B123" s="19"/>
      <c r="C123" s="19"/>
      <c r="D123" s="19"/>
      <c r="E123" s="19"/>
      <c r="F123" s="19"/>
      <c r="G123" s="19"/>
      <c r="I123" s="19"/>
      <c r="J123" s="19"/>
      <c r="K123" s="19"/>
      <c r="L123" s="19"/>
      <c r="M123" s="19"/>
      <c r="N123" s="19"/>
      <c r="O123" s="19"/>
    </row>
    <row r="124" spans="1:15" hidden="1" x14ac:dyDescent="0.3">
      <c r="A124" s="19"/>
      <c r="B124" s="19"/>
      <c r="C124" s="19"/>
      <c r="D124" s="19"/>
      <c r="E124" s="19"/>
      <c r="F124" s="19"/>
      <c r="G124" s="19"/>
      <c r="I124" s="19"/>
      <c r="J124" s="19"/>
      <c r="K124" s="19"/>
      <c r="L124" s="19"/>
      <c r="M124" s="19"/>
      <c r="N124" s="19"/>
      <c r="O124" s="19"/>
    </row>
    <row r="125" spans="1:15" hidden="1" x14ac:dyDescent="0.3">
      <c r="A125" s="19"/>
      <c r="B125" s="19"/>
      <c r="C125" s="19"/>
      <c r="D125" s="19"/>
      <c r="E125" s="19"/>
      <c r="F125" s="19"/>
      <c r="G125" s="19"/>
      <c r="I125" s="19"/>
      <c r="J125" s="19"/>
      <c r="K125" s="19"/>
      <c r="L125" s="19"/>
      <c r="M125" s="19"/>
      <c r="N125" s="19"/>
      <c r="O125" s="19"/>
    </row>
    <row r="126" spans="1:15" hidden="1" x14ac:dyDescent="0.3">
      <c r="A126" s="19"/>
      <c r="B126" s="19"/>
      <c r="C126" s="19"/>
      <c r="D126" s="19"/>
      <c r="E126" s="19"/>
      <c r="F126" s="19"/>
      <c r="G126" s="19"/>
      <c r="I126" s="19"/>
      <c r="J126" s="19"/>
      <c r="K126" s="19"/>
      <c r="L126" s="19"/>
      <c r="M126" s="19"/>
      <c r="N126" s="19"/>
      <c r="O126" s="19"/>
    </row>
    <row r="127" spans="1:15" hidden="1" x14ac:dyDescent="0.3">
      <c r="A127" s="19"/>
      <c r="B127" s="19"/>
      <c r="C127" s="19"/>
      <c r="D127" s="19"/>
      <c r="E127" s="19"/>
      <c r="F127" s="19"/>
      <c r="G127" s="19"/>
      <c r="I127" s="19"/>
      <c r="J127" s="19"/>
      <c r="K127" s="19"/>
      <c r="L127" s="19"/>
      <c r="M127" s="19"/>
      <c r="N127" s="19"/>
      <c r="O127" s="19"/>
    </row>
    <row r="128" spans="1:15" hidden="1" x14ac:dyDescent="0.3">
      <c r="A128" s="19"/>
      <c r="B128" s="19"/>
      <c r="C128" s="19"/>
      <c r="D128" s="19"/>
      <c r="E128" s="19"/>
      <c r="F128" s="19"/>
      <c r="G128" s="19"/>
      <c r="I128" s="19"/>
      <c r="J128" s="19"/>
      <c r="K128" s="19"/>
      <c r="L128" s="19"/>
      <c r="M128" s="19"/>
      <c r="N128" s="19"/>
      <c r="O128" s="19"/>
    </row>
    <row r="129" spans="1:15" hidden="1" x14ac:dyDescent="0.3">
      <c r="A129" s="19"/>
      <c r="B129" s="19"/>
      <c r="C129" s="19"/>
      <c r="D129" s="19"/>
      <c r="E129" s="19"/>
      <c r="F129" s="19"/>
      <c r="G129" s="19"/>
      <c r="I129" s="19"/>
      <c r="J129" s="19"/>
      <c r="K129" s="19"/>
      <c r="L129" s="19"/>
      <c r="M129" s="19"/>
      <c r="N129" s="19"/>
      <c r="O129" s="19"/>
    </row>
    <row r="130" spans="1:15" hidden="1" x14ac:dyDescent="0.3">
      <c r="A130" s="19"/>
      <c r="B130" s="19"/>
      <c r="C130" s="19"/>
      <c r="D130" s="19"/>
      <c r="E130" s="19"/>
      <c r="F130" s="19"/>
      <c r="G130" s="19"/>
      <c r="I130" s="19"/>
      <c r="J130" s="19"/>
      <c r="K130" s="19"/>
      <c r="L130" s="19"/>
      <c r="M130" s="19"/>
      <c r="N130" s="19"/>
      <c r="O130" s="19"/>
    </row>
    <row r="131" spans="1:15" hidden="1" x14ac:dyDescent="0.3">
      <c r="A131" s="19"/>
      <c r="B131" s="19"/>
      <c r="C131" s="19"/>
      <c r="D131" s="19"/>
      <c r="E131" s="19"/>
      <c r="F131" s="19"/>
      <c r="G131" s="19"/>
      <c r="I131" s="19"/>
      <c r="J131" s="19"/>
      <c r="K131" s="19"/>
      <c r="L131" s="19"/>
      <c r="M131" s="19"/>
      <c r="N131" s="19"/>
      <c r="O131" s="19"/>
    </row>
    <row r="132" spans="1:15" hidden="1" x14ac:dyDescent="0.3">
      <c r="A132" s="19"/>
      <c r="B132" s="19"/>
      <c r="C132" s="19"/>
      <c r="D132" s="19"/>
      <c r="E132" s="19"/>
      <c r="F132" s="19"/>
      <c r="G132" s="19"/>
      <c r="I132" s="19"/>
      <c r="J132" s="19"/>
      <c r="K132" s="19"/>
      <c r="L132" s="19"/>
      <c r="M132" s="19"/>
      <c r="N132" s="19"/>
      <c r="O132" s="19"/>
    </row>
    <row r="133" spans="1:15" hidden="1" x14ac:dyDescent="0.3">
      <c r="A133" s="19"/>
      <c r="B133" s="19"/>
      <c r="C133" s="19"/>
      <c r="D133" s="19"/>
      <c r="E133" s="19"/>
      <c r="F133" s="19"/>
      <c r="G133" s="19"/>
      <c r="I133" s="19"/>
      <c r="J133" s="19"/>
      <c r="K133" s="19"/>
      <c r="L133" s="19"/>
      <c r="M133" s="19"/>
      <c r="N133" s="19"/>
      <c r="O133" s="19"/>
    </row>
    <row r="134" spans="1:15" hidden="1" x14ac:dyDescent="0.3">
      <c r="A134" s="19"/>
      <c r="B134" s="19"/>
      <c r="C134" s="19"/>
      <c r="D134" s="19"/>
      <c r="E134" s="19"/>
      <c r="F134" s="19"/>
      <c r="G134" s="19"/>
      <c r="I134" s="19"/>
      <c r="J134" s="19"/>
      <c r="K134" s="19"/>
      <c r="L134" s="19"/>
      <c r="M134" s="19"/>
      <c r="N134" s="19"/>
      <c r="O134" s="19"/>
    </row>
    <row r="135" spans="1:15" hidden="1" x14ac:dyDescent="0.3">
      <c r="A135" s="19"/>
      <c r="B135" s="19"/>
      <c r="C135" s="19"/>
      <c r="D135" s="19"/>
      <c r="E135" s="19"/>
      <c r="F135" s="19"/>
      <c r="G135" s="19"/>
      <c r="I135" s="19"/>
      <c r="J135" s="19"/>
      <c r="K135" s="19"/>
      <c r="L135" s="19"/>
      <c r="M135" s="19"/>
      <c r="N135" s="19"/>
      <c r="O135" s="19"/>
    </row>
    <row r="136" spans="1:15" hidden="1" x14ac:dyDescent="0.3">
      <c r="A136" s="19"/>
      <c r="B136" s="19"/>
      <c r="C136" s="19"/>
      <c r="D136" s="19"/>
      <c r="E136" s="19"/>
      <c r="F136" s="19"/>
      <c r="G136" s="19"/>
      <c r="I136" s="19"/>
      <c r="J136" s="19"/>
      <c r="K136" s="19"/>
      <c r="L136" s="19"/>
      <c r="M136" s="19"/>
      <c r="N136" s="19"/>
      <c r="O136" s="19"/>
    </row>
    <row r="137" spans="1:15" hidden="1" x14ac:dyDescent="0.3">
      <c r="A137" s="19"/>
      <c r="B137" s="19"/>
      <c r="C137" s="19"/>
      <c r="D137" s="19"/>
      <c r="E137" s="19"/>
      <c r="F137" s="19"/>
      <c r="G137" s="19"/>
      <c r="I137" s="19"/>
      <c r="J137" s="19"/>
      <c r="K137" s="19"/>
      <c r="L137" s="19"/>
      <c r="M137" s="19"/>
      <c r="N137" s="19"/>
      <c r="O137" s="19"/>
    </row>
    <row r="138" spans="1:15" hidden="1" x14ac:dyDescent="0.3">
      <c r="A138" s="19"/>
      <c r="B138" s="19"/>
      <c r="C138" s="19"/>
      <c r="D138" s="19"/>
      <c r="E138" s="19"/>
      <c r="F138" s="19"/>
      <c r="G138" s="19"/>
      <c r="I138" s="19"/>
      <c r="J138" s="19"/>
      <c r="K138" s="19"/>
      <c r="L138" s="19"/>
      <c r="M138" s="19"/>
      <c r="N138" s="19"/>
      <c r="O138" s="19"/>
    </row>
    <row r="139" spans="1:15" hidden="1" x14ac:dyDescent="0.3">
      <c r="A139" s="19"/>
      <c r="B139" s="19"/>
      <c r="C139" s="19"/>
      <c r="D139" s="19"/>
      <c r="E139" s="19"/>
      <c r="F139" s="19"/>
      <c r="G139" s="19"/>
      <c r="I139" s="19"/>
      <c r="J139" s="19"/>
      <c r="K139" s="19"/>
      <c r="L139" s="19"/>
      <c r="M139" s="19"/>
      <c r="N139" s="19"/>
      <c r="O139" s="19"/>
    </row>
    <row r="140" spans="1:15" hidden="1" x14ac:dyDescent="0.3">
      <c r="A140" s="19"/>
      <c r="B140" s="19"/>
      <c r="C140" s="19"/>
      <c r="D140" s="19"/>
      <c r="E140" s="19"/>
      <c r="F140" s="19"/>
      <c r="G140" s="19"/>
      <c r="I140" s="19"/>
      <c r="J140" s="19"/>
      <c r="K140" s="19"/>
      <c r="L140" s="19"/>
      <c r="M140" s="19"/>
      <c r="N140" s="19"/>
      <c r="O140" s="19"/>
    </row>
    <row r="141" spans="1:15" hidden="1" x14ac:dyDescent="0.3">
      <c r="A141" s="19"/>
      <c r="B141" s="19"/>
      <c r="C141" s="19"/>
      <c r="D141" s="19"/>
      <c r="E141" s="19"/>
      <c r="F141" s="19"/>
      <c r="G141" s="19"/>
      <c r="I141" s="19"/>
      <c r="J141" s="19"/>
      <c r="K141" s="19"/>
      <c r="L141" s="19"/>
      <c r="M141" s="19"/>
      <c r="N141" s="19"/>
      <c r="O141" s="19"/>
    </row>
    <row r="142" spans="1:15" hidden="1" x14ac:dyDescent="0.3">
      <c r="A142" s="19"/>
      <c r="B142" s="19"/>
      <c r="C142" s="19"/>
      <c r="D142" s="19"/>
      <c r="E142" s="19"/>
      <c r="F142" s="19"/>
      <c r="G142" s="19"/>
      <c r="I142" s="19"/>
      <c r="J142" s="19"/>
      <c r="K142" s="19"/>
      <c r="L142" s="19"/>
      <c r="M142" s="19"/>
      <c r="N142" s="19"/>
      <c r="O142" s="19"/>
    </row>
    <row r="143" spans="1:15" hidden="1" x14ac:dyDescent="0.3">
      <c r="A143" s="19"/>
      <c r="B143" s="19"/>
      <c r="C143" s="19"/>
      <c r="D143" s="19"/>
      <c r="E143" s="19"/>
      <c r="F143" s="19"/>
      <c r="G143" s="19"/>
      <c r="I143" s="19"/>
      <c r="J143" s="19"/>
      <c r="K143" s="19"/>
      <c r="L143" s="19"/>
      <c r="M143" s="19"/>
      <c r="N143" s="19"/>
      <c r="O143" s="19"/>
    </row>
    <row r="144" spans="1:15" hidden="1" x14ac:dyDescent="0.3">
      <c r="A144" s="19"/>
      <c r="B144" s="19"/>
      <c r="C144" s="19"/>
      <c r="D144" s="19"/>
      <c r="E144" s="19"/>
      <c r="F144" s="19"/>
      <c r="G144" s="19"/>
      <c r="I144" s="19"/>
      <c r="J144" s="19"/>
      <c r="K144" s="19"/>
      <c r="L144" s="19"/>
      <c r="M144" s="19"/>
      <c r="N144" s="19"/>
      <c r="O144" s="19"/>
    </row>
    <row r="145" spans="1:15" hidden="1" x14ac:dyDescent="0.3">
      <c r="A145" s="19"/>
      <c r="B145" s="19"/>
      <c r="C145" s="19"/>
      <c r="D145" s="19"/>
      <c r="E145" s="19"/>
      <c r="F145" s="19"/>
      <c r="G145" s="19"/>
      <c r="I145" s="19"/>
      <c r="J145" s="19"/>
      <c r="K145" s="19"/>
      <c r="L145" s="19"/>
      <c r="M145" s="19"/>
      <c r="N145" s="19"/>
      <c r="O145" s="19"/>
    </row>
    <row r="146" spans="1:15" hidden="1" x14ac:dyDescent="0.3">
      <c r="A146" s="19"/>
      <c r="B146" s="19"/>
      <c r="C146" s="19"/>
      <c r="D146" s="19"/>
      <c r="E146" s="19"/>
      <c r="F146" s="19"/>
      <c r="G146" s="19"/>
      <c r="I146" s="19"/>
      <c r="J146" s="19"/>
      <c r="K146" s="19"/>
      <c r="L146" s="19"/>
      <c r="M146" s="19"/>
      <c r="N146" s="19"/>
      <c r="O146" s="19"/>
    </row>
    <row r="147" spans="1:15" hidden="1" x14ac:dyDescent="0.3">
      <c r="A147" s="19"/>
      <c r="B147" s="19"/>
      <c r="C147" s="19"/>
      <c r="D147" s="19"/>
      <c r="E147" s="19"/>
      <c r="F147" s="19"/>
      <c r="G147" s="19"/>
      <c r="I147" s="19"/>
      <c r="J147" s="19"/>
      <c r="K147" s="19"/>
      <c r="L147" s="19"/>
      <c r="M147" s="19"/>
      <c r="N147" s="19"/>
      <c r="O147" s="19"/>
    </row>
    <row r="148" spans="1:15" hidden="1" x14ac:dyDescent="0.3">
      <c r="A148" s="19"/>
      <c r="B148" s="19"/>
      <c r="C148" s="19"/>
      <c r="D148" s="19"/>
      <c r="E148" s="19"/>
      <c r="F148" s="19"/>
      <c r="G148" s="19"/>
      <c r="I148" s="19"/>
      <c r="J148" s="19"/>
      <c r="K148" s="19"/>
      <c r="L148" s="19"/>
      <c r="M148" s="19"/>
      <c r="N148" s="19"/>
      <c r="O148" s="19"/>
    </row>
    <row r="149" spans="1:15" hidden="1" x14ac:dyDescent="0.3">
      <c r="A149" s="19"/>
      <c r="B149" s="19"/>
      <c r="C149" s="19"/>
      <c r="D149" s="19"/>
      <c r="E149" s="19"/>
      <c r="F149" s="19"/>
      <c r="G149" s="19"/>
      <c r="I149" s="19"/>
      <c r="J149" s="19"/>
      <c r="K149" s="19"/>
      <c r="L149" s="19"/>
      <c r="M149" s="19"/>
      <c r="N149" s="19"/>
      <c r="O149" s="19"/>
    </row>
    <row r="150" spans="1:15" hidden="1" x14ac:dyDescent="0.3">
      <c r="A150" s="19"/>
      <c r="B150" s="19"/>
      <c r="C150" s="19"/>
      <c r="D150" s="19"/>
      <c r="E150" s="19"/>
      <c r="F150" s="19"/>
      <c r="G150" s="19"/>
      <c r="I150" s="19"/>
      <c r="J150" s="19"/>
      <c r="K150" s="19"/>
      <c r="L150" s="19"/>
      <c r="M150" s="19"/>
      <c r="N150" s="19"/>
      <c r="O150" s="19"/>
    </row>
    <row r="151" spans="1:15" hidden="1" x14ac:dyDescent="0.3">
      <c r="A151" s="19"/>
      <c r="B151" s="19"/>
      <c r="C151" s="19"/>
      <c r="D151" s="19"/>
      <c r="E151" s="19"/>
      <c r="F151" s="19"/>
      <c r="G151" s="19"/>
      <c r="I151" s="19"/>
      <c r="J151" s="19"/>
      <c r="K151" s="19"/>
      <c r="L151" s="19"/>
      <c r="M151" s="19"/>
      <c r="N151" s="19"/>
      <c r="O151" s="19"/>
    </row>
    <row r="152" spans="1:15" hidden="1" x14ac:dyDescent="0.3">
      <c r="A152" s="19"/>
      <c r="B152" s="19"/>
      <c r="C152" s="19"/>
      <c r="D152" s="19"/>
      <c r="E152" s="19"/>
      <c r="F152" s="19"/>
      <c r="G152" s="19"/>
      <c r="I152" s="19"/>
      <c r="J152" s="19"/>
      <c r="K152" s="19"/>
      <c r="L152" s="19"/>
      <c r="M152" s="19"/>
      <c r="N152" s="19"/>
      <c r="O152" s="19"/>
    </row>
    <row r="153" spans="1:15" hidden="1" x14ac:dyDescent="0.3">
      <c r="A153" s="19"/>
      <c r="B153" s="19"/>
      <c r="C153" s="19"/>
      <c r="D153" s="19"/>
      <c r="E153" s="19"/>
      <c r="F153" s="19"/>
      <c r="G153" s="19"/>
      <c r="I153" s="19"/>
      <c r="J153" s="19"/>
      <c r="K153" s="19"/>
      <c r="L153" s="19"/>
      <c r="M153" s="19"/>
      <c r="N153" s="19"/>
      <c r="O153" s="19"/>
    </row>
    <row r="154" spans="1:15" hidden="1" x14ac:dyDescent="0.3">
      <c r="A154" s="19"/>
      <c r="B154" s="19"/>
      <c r="C154" s="19"/>
      <c r="D154" s="19"/>
      <c r="E154" s="19"/>
      <c r="F154" s="19"/>
      <c r="G154" s="19"/>
      <c r="I154" s="19"/>
      <c r="J154" s="19"/>
      <c r="K154" s="19"/>
      <c r="L154" s="19"/>
      <c r="M154" s="19"/>
      <c r="N154" s="19"/>
      <c r="O154" s="19"/>
    </row>
    <row r="155" spans="1:15" hidden="1" x14ac:dyDescent="0.3">
      <c r="A155" s="19"/>
      <c r="B155" s="19"/>
      <c r="C155" s="19"/>
      <c r="D155" s="19"/>
      <c r="E155" s="19"/>
      <c r="F155" s="19"/>
      <c r="G155" s="19"/>
      <c r="I155" s="19"/>
      <c r="J155" s="19"/>
      <c r="K155" s="19"/>
      <c r="L155" s="19"/>
      <c r="M155" s="19"/>
      <c r="N155" s="19"/>
      <c r="O155" s="19"/>
    </row>
    <row r="156" spans="1:15" hidden="1" x14ac:dyDescent="0.3">
      <c r="A156" s="19"/>
      <c r="B156" s="19"/>
      <c r="C156" s="19"/>
      <c r="D156" s="19"/>
      <c r="E156" s="19"/>
      <c r="F156" s="19"/>
      <c r="G156" s="19"/>
      <c r="I156" s="19"/>
      <c r="J156" s="19"/>
      <c r="K156" s="19"/>
      <c r="L156" s="19"/>
      <c r="M156" s="19"/>
      <c r="N156" s="19"/>
      <c r="O156" s="19"/>
    </row>
    <row r="157" spans="1:15" hidden="1" x14ac:dyDescent="0.3">
      <c r="A157" s="19"/>
      <c r="B157" s="19"/>
      <c r="C157" s="19"/>
      <c r="D157" s="19"/>
      <c r="E157" s="19"/>
      <c r="F157" s="19"/>
      <c r="G157" s="19"/>
      <c r="I157" s="19"/>
      <c r="J157" s="19"/>
      <c r="K157" s="19"/>
      <c r="L157" s="19"/>
      <c r="M157" s="19"/>
      <c r="N157" s="19"/>
      <c r="O157" s="19"/>
    </row>
    <row r="158" spans="1:15" hidden="1" x14ac:dyDescent="0.3">
      <c r="A158" s="19"/>
      <c r="B158" s="19"/>
      <c r="C158" s="19"/>
      <c r="D158" s="19"/>
      <c r="E158" s="19"/>
      <c r="F158" s="19"/>
      <c r="G158" s="19"/>
      <c r="I158" s="19"/>
      <c r="J158" s="19"/>
      <c r="K158" s="19"/>
      <c r="L158" s="19"/>
      <c r="M158" s="19"/>
      <c r="N158" s="19"/>
      <c r="O158" s="19"/>
    </row>
    <row r="159" spans="1:15" hidden="1" x14ac:dyDescent="0.3">
      <c r="A159" s="19"/>
      <c r="B159" s="19"/>
      <c r="C159" s="19"/>
      <c r="D159" s="19"/>
      <c r="E159" s="19"/>
      <c r="F159" s="19"/>
      <c r="G159" s="19"/>
      <c r="I159" s="19"/>
      <c r="J159" s="19"/>
      <c r="K159" s="19"/>
      <c r="L159" s="19"/>
      <c r="M159" s="19"/>
      <c r="N159" s="19"/>
      <c r="O159" s="19"/>
    </row>
    <row r="160" spans="1:15" hidden="1" x14ac:dyDescent="0.3">
      <c r="A160" s="19"/>
      <c r="B160" s="19"/>
      <c r="C160" s="19"/>
      <c r="D160" s="19"/>
      <c r="E160" s="19"/>
      <c r="F160" s="19"/>
      <c r="G160" s="19"/>
      <c r="I160" s="19"/>
      <c r="J160" s="19"/>
      <c r="K160" s="19"/>
      <c r="L160" s="19"/>
      <c r="M160" s="19"/>
      <c r="N160" s="19"/>
      <c r="O160" s="19"/>
    </row>
    <row r="161" spans="1:15" hidden="1" x14ac:dyDescent="0.3">
      <c r="A161" s="19"/>
      <c r="B161" s="19"/>
      <c r="C161" s="19"/>
      <c r="D161" s="19"/>
      <c r="E161" s="19"/>
      <c r="F161" s="19"/>
      <c r="G161" s="19"/>
      <c r="I161" s="19"/>
      <c r="J161" s="19"/>
      <c r="K161" s="19"/>
      <c r="L161" s="19"/>
      <c r="M161" s="19"/>
      <c r="N161" s="19"/>
      <c r="O161" s="19"/>
    </row>
    <row r="162" spans="1:15" hidden="1" x14ac:dyDescent="0.3">
      <c r="A162" s="19"/>
      <c r="B162" s="19"/>
      <c r="C162" s="19"/>
      <c r="D162" s="19"/>
      <c r="E162" s="19"/>
      <c r="F162" s="19"/>
      <c r="G162" s="19"/>
      <c r="I162" s="19"/>
      <c r="J162" s="19"/>
      <c r="K162" s="19"/>
      <c r="L162" s="19"/>
      <c r="M162" s="19"/>
      <c r="N162" s="19"/>
      <c r="O162" s="19"/>
    </row>
    <row r="163" spans="1:15" hidden="1" x14ac:dyDescent="0.3">
      <c r="A163" s="19"/>
      <c r="B163" s="19"/>
      <c r="C163" s="19"/>
      <c r="D163" s="19"/>
      <c r="E163" s="19"/>
      <c r="F163" s="19"/>
      <c r="G163" s="19"/>
      <c r="I163" s="19"/>
      <c r="J163" s="19"/>
      <c r="K163" s="19"/>
      <c r="L163" s="19"/>
      <c r="M163" s="19"/>
      <c r="N163" s="19"/>
      <c r="O163" s="19"/>
    </row>
    <row r="164" spans="1:15" hidden="1" x14ac:dyDescent="0.3">
      <c r="A164" s="19"/>
      <c r="B164" s="19"/>
      <c r="C164" s="19"/>
      <c r="D164" s="19"/>
      <c r="E164" s="19"/>
      <c r="F164" s="19"/>
      <c r="G164" s="19"/>
      <c r="I164" s="19"/>
      <c r="J164" s="19"/>
      <c r="K164" s="19"/>
      <c r="L164" s="19"/>
      <c r="M164" s="19"/>
      <c r="N164" s="19"/>
      <c r="O164" s="19"/>
    </row>
    <row r="165" spans="1:15" hidden="1" x14ac:dyDescent="0.3">
      <c r="A165" s="19"/>
      <c r="B165" s="19"/>
      <c r="C165" s="19"/>
      <c r="D165" s="19"/>
      <c r="E165" s="19"/>
      <c r="F165" s="19"/>
      <c r="G165" s="19"/>
      <c r="I165" s="19"/>
      <c r="J165" s="19"/>
      <c r="K165" s="19"/>
      <c r="L165" s="19"/>
      <c r="M165" s="19"/>
      <c r="N165" s="19"/>
      <c r="O165" s="19"/>
    </row>
    <row r="166" spans="1:15" hidden="1" x14ac:dyDescent="0.3">
      <c r="A166" s="19"/>
      <c r="B166" s="19"/>
      <c r="C166" s="19"/>
      <c r="D166" s="19"/>
      <c r="E166" s="19"/>
      <c r="F166" s="19"/>
      <c r="G166" s="19"/>
      <c r="I166" s="19"/>
      <c r="J166" s="19"/>
      <c r="K166" s="19"/>
      <c r="L166" s="19"/>
      <c r="M166" s="19"/>
      <c r="N166" s="19"/>
      <c r="O166" s="19"/>
    </row>
    <row r="167" spans="1:15" hidden="1" x14ac:dyDescent="0.3">
      <c r="A167" s="19"/>
      <c r="B167" s="19"/>
      <c r="C167" s="19"/>
      <c r="D167" s="19"/>
      <c r="E167" s="19"/>
      <c r="F167" s="19"/>
      <c r="G167" s="19"/>
      <c r="I167" s="19"/>
      <c r="J167" s="19"/>
      <c r="K167" s="19"/>
      <c r="L167" s="19"/>
      <c r="M167" s="19"/>
      <c r="N167" s="19"/>
      <c r="O167" s="19"/>
    </row>
    <row r="168" spans="1:15" hidden="1" x14ac:dyDescent="0.3">
      <c r="A168" s="19"/>
      <c r="B168" s="19"/>
      <c r="C168" s="19"/>
      <c r="D168" s="19"/>
      <c r="E168" s="19"/>
      <c r="F168" s="19"/>
      <c r="G168" s="19"/>
      <c r="I168" s="19"/>
      <c r="J168" s="19"/>
      <c r="K168" s="19"/>
      <c r="L168" s="19"/>
      <c r="M168" s="19"/>
      <c r="N168" s="19"/>
      <c r="O168" s="19"/>
    </row>
    <row r="169" spans="1:15" hidden="1" x14ac:dyDescent="0.3">
      <c r="A169" s="19"/>
      <c r="B169" s="19"/>
      <c r="C169" s="19"/>
      <c r="D169" s="19"/>
      <c r="E169" s="19"/>
      <c r="F169" s="19"/>
      <c r="G169" s="19"/>
      <c r="I169" s="19"/>
      <c r="J169" s="19"/>
      <c r="K169" s="19"/>
      <c r="L169" s="19"/>
      <c r="M169" s="19"/>
      <c r="N169" s="19"/>
      <c r="O169" s="19"/>
    </row>
    <row r="170" spans="1:15" hidden="1" x14ac:dyDescent="0.3">
      <c r="A170" s="19"/>
      <c r="B170" s="19"/>
      <c r="C170" s="19"/>
      <c r="D170" s="19"/>
      <c r="E170" s="19"/>
      <c r="F170" s="19"/>
      <c r="G170" s="19"/>
      <c r="I170" s="19"/>
      <c r="J170" s="19"/>
      <c r="K170" s="19"/>
      <c r="L170" s="19"/>
      <c r="M170" s="19"/>
      <c r="N170" s="19"/>
      <c r="O170" s="19"/>
    </row>
    <row r="171" spans="1:15" hidden="1" x14ac:dyDescent="0.3">
      <c r="A171" s="19"/>
      <c r="B171" s="19"/>
      <c r="C171" s="19"/>
      <c r="D171" s="19"/>
      <c r="E171" s="19"/>
      <c r="F171" s="19"/>
      <c r="G171" s="19"/>
      <c r="I171" s="19"/>
      <c r="J171" s="19"/>
      <c r="K171" s="19"/>
      <c r="L171" s="19"/>
      <c r="M171" s="19"/>
      <c r="N171" s="19"/>
      <c r="O171" s="19"/>
    </row>
    <row r="172" spans="1:15" hidden="1" x14ac:dyDescent="0.3">
      <c r="A172" s="19"/>
      <c r="B172" s="19"/>
      <c r="C172" s="19"/>
      <c r="D172" s="19"/>
      <c r="E172" s="19"/>
      <c r="F172" s="19"/>
      <c r="G172" s="19"/>
      <c r="I172" s="19"/>
      <c r="J172" s="19"/>
      <c r="K172" s="19"/>
      <c r="L172" s="19"/>
      <c r="M172" s="19"/>
      <c r="N172" s="19"/>
      <c r="O172" s="19"/>
    </row>
    <row r="173" spans="1:15" hidden="1" x14ac:dyDescent="0.3">
      <c r="A173" s="19"/>
      <c r="B173" s="19"/>
      <c r="C173" s="19"/>
      <c r="D173" s="19"/>
      <c r="E173" s="19"/>
      <c r="F173" s="19"/>
      <c r="G173" s="19"/>
      <c r="I173" s="19"/>
      <c r="J173" s="19"/>
      <c r="K173" s="19"/>
      <c r="L173" s="19"/>
      <c r="M173" s="19"/>
      <c r="N173" s="19"/>
      <c r="O173" s="19"/>
    </row>
    <row r="174" spans="1:15" hidden="1" x14ac:dyDescent="0.3">
      <c r="A174" s="19"/>
      <c r="B174" s="19"/>
      <c r="C174" s="19"/>
      <c r="D174" s="19"/>
      <c r="E174" s="19"/>
      <c r="F174" s="19"/>
      <c r="G174" s="19"/>
      <c r="I174" s="19"/>
      <c r="J174" s="19"/>
      <c r="K174" s="19"/>
      <c r="L174" s="19"/>
      <c r="M174" s="19"/>
      <c r="N174" s="19"/>
      <c r="O174" s="19"/>
    </row>
    <row r="175" spans="1:15" hidden="1" x14ac:dyDescent="0.3">
      <c r="A175" s="19"/>
      <c r="B175" s="19"/>
      <c r="C175" s="19"/>
      <c r="D175" s="19"/>
      <c r="E175" s="19"/>
      <c r="F175" s="19"/>
      <c r="G175" s="19"/>
      <c r="I175" s="19"/>
      <c r="J175" s="19"/>
      <c r="K175" s="19"/>
      <c r="L175" s="19"/>
      <c r="M175" s="19"/>
      <c r="N175" s="19"/>
      <c r="O175" s="19"/>
    </row>
    <row r="176" spans="1:15" hidden="1" x14ac:dyDescent="0.3">
      <c r="A176" s="19"/>
      <c r="B176" s="19"/>
      <c r="C176" s="19"/>
      <c r="D176" s="19"/>
      <c r="E176" s="19"/>
      <c r="F176" s="19"/>
      <c r="G176" s="19"/>
      <c r="I176" s="19"/>
      <c r="J176" s="19"/>
      <c r="K176" s="19"/>
      <c r="L176" s="19"/>
      <c r="M176" s="19"/>
      <c r="N176" s="19"/>
      <c r="O176" s="19"/>
    </row>
    <row r="177" spans="1:15" hidden="1" x14ac:dyDescent="0.3">
      <c r="A177" s="19"/>
      <c r="B177" s="19"/>
      <c r="C177" s="19"/>
      <c r="D177" s="19"/>
      <c r="E177" s="19"/>
      <c r="F177" s="19"/>
      <c r="G177" s="19"/>
      <c r="I177" s="19"/>
      <c r="J177" s="19"/>
      <c r="K177" s="19"/>
      <c r="L177" s="19"/>
      <c r="M177" s="19"/>
      <c r="N177" s="19"/>
      <c r="O177" s="19"/>
    </row>
    <row r="178" spans="1:15" hidden="1" x14ac:dyDescent="0.3">
      <c r="A178" s="19"/>
      <c r="B178" s="19"/>
      <c r="C178" s="19"/>
      <c r="D178" s="19"/>
      <c r="E178" s="19"/>
      <c r="F178" s="19"/>
      <c r="G178" s="19"/>
      <c r="I178" s="19"/>
      <c r="J178" s="19"/>
      <c r="K178" s="19"/>
      <c r="L178" s="19"/>
      <c r="M178" s="19"/>
      <c r="N178" s="19"/>
      <c r="O178" s="19"/>
    </row>
    <row r="179" spans="1:15" hidden="1" x14ac:dyDescent="0.3">
      <c r="A179" s="19"/>
      <c r="B179" s="19"/>
      <c r="C179" s="19"/>
      <c r="D179" s="19"/>
      <c r="E179" s="19"/>
      <c r="F179" s="19"/>
      <c r="G179" s="19"/>
      <c r="I179" s="19"/>
      <c r="J179" s="19"/>
      <c r="K179" s="19"/>
      <c r="L179" s="19"/>
      <c r="M179" s="19"/>
      <c r="N179" s="19"/>
      <c r="O179" s="19"/>
    </row>
    <row r="180" spans="1:15" hidden="1" x14ac:dyDescent="0.3">
      <c r="A180" s="19"/>
      <c r="B180" s="19"/>
      <c r="C180" s="19"/>
      <c r="D180" s="19"/>
      <c r="E180" s="19"/>
      <c r="F180" s="19"/>
      <c r="G180" s="19"/>
      <c r="I180" s="19"/>
      <c r="J180" s="19"/>
      <c r="K180" s="19"/>
      <c r="L180" s="19"/>
      <c r="M180" s="19"/>
      <c r="N180" s="19"/>
      <c r="O180" s="19"/>
    </row>
    <row r="181" spans="1:15" hidden="1" x14ac:dyDescent="0.3">
      <c r="A181" s="19"/>
      <c r="B181" s="19"/>
      <c r="C181" s="19"/>
      <c r="D181" s="19"/>
      <c r="E181" s="19"/>
      <c r="F181" s="19"/>
      <c r="G181" s="19"/>
      <c r="I181" s="19"/>
      <c r="J181" s="19"/>
      <c r="K181" s="19"/>
      <c r="L181" s="19"/>
      <c r="M181" s="19"/>
      <c r="N181" s="19"/>
      <c r="O181" s="19"/>
    </row>
    <row r="182" spans="1:15" hidden="1" x14ac:dyDescent="0.3">
      <c r="A182" s="19"/>
      <c r="B182" s="19"/>
      <c r="C182" s="19"/>
      <c r="D182" s="19"/>
      <c r="E182" s="19"/>
      <c r="F182" s="19"/>
      <c r="G182" s="19"/>
      <c r="I182" s="19"/>
      <c r="J182" s="19"/>
      <c r="K182" s="19"/>
      <c r="L182" s="19"/>
      <c r="M182" s="19"/>
      <c r="N182" s="19"/>
      <c r="O182" s="19"/>
    </row>
    <row r="183" spans="1:15" hidden="1" x14ac:dyDescent="0.3">
      <c r="A183" s="19"/>
      <c r="B183" s="19"/>
      <c r="C183" s="19"/>
      <c r="D183" s="19"/>
      <c r="E183" s="19"/>
      <c r="F183" s="19"/>
      <c r="G183" s="19"/>
      <c r="I183" s="19"/>
      <c r="J183" s="19"/>
      <c r="K183" s="19"/>
      <c r="L183" s="19"/>
      <c r="M183" s="19"/>
      <c r="N183" s="19"/>
      <c r="O183" s="19"/>
    </row>
    <row r="184" spans="1:15" hidden="1" x14ac:dyDescent="0.3">
      <c r="A184" s="19"/>
      <c r="B184" s="19"/>
      <c r="C184" s="19"/>
      <c r="D184" s="19"/>
      <c r="E184" s="19"/>
      <c r="F184" s="19"/>
      <c r="G184" s="19"/>
      <c r="I184" s="19"/>
      <c r="J184" s="19"/>
      <c r="K184" s="19"/>
      <c r="L184" s="19"/>
      <c r="M184" s="19"/>
      <c r="N184" s="19"/>
      <c r="O184" s="19"/>
    </row>
    <row r="185" spans="1:15" hidden="1" x14ac:dyDescent="0.3">
      <c r="A185" s="19"/>
      <c r="B185" s="19"/>
      <c r="C185" s="19"/>
      <c r="D185" s="19"/>
      <c r="E185" s="19"/>
      <c r="F185" s="19"/>
      <c r="G185" s="19"/>
      <c r="I185" s="19"/>
      <c r="J185" s="19"/>
      <c r="K185" s="19"/>
      <c r="L185" s="19"/>
      <c r="M185" s="19"/>
      <c r="N185" s="19"/>
      <c r="O185" s="19"/>
    </row>
    <row r="186" spans="1:15" hidden="1" x14ac:dyDescent="0.3">
      <c r="A186" s="19"/>
      <c r="B186" s="19"/>
      <c r="C186" s="19"/>
      <c r="D186" s="19"/>
      <c r="E186" s="19"/>
      <c r="F186" s="19"/>
      <c r="G186" s="19"/>
      <c r="I186" s="19"/>
      <c r="J186" s="19"/>
      <c r="K186" s="19"/>
      <c r="L186" s="19"/>
      <c r="M186" s="19"/>
      <c r="N186" s="19"/>
      <c r="O186" s="19"/>
    </row>
    <row r="187" spans="1:15" hidden="1" x14ac:dyDescent="0.3">
      <c r="A187" s="19"/>
      <c r="B187" s="19"/>
      <c r="C187" s="19"/>
      <c r="D187" s="19"/>
      <c r="E187" s="19"/>
      <c r="F187" s="19"/>
      <c r="G187" s="19"/>
      <c r="I187" s="19"/>
      <c r="J187" s="19"/>
      <c r="K187" s="19"/>
      <c r="L187" s="19"/>
      <c r="M187" s="19"/>
      <c r="N187" s="19"/>
      <c r="O187" s="19"/>
    </row>
    <row r="188" spans="1:15" hidden="1" x14ac:dyDescent="0.3">
      <c r="A188" s="19"/>
      <c r="B188" s="19"/>
      <c r="C188" s="19"/>
      <c r="D188" s="19"/>
      <c r="E188" s="19"/>
      <c r="F188" s="19"/>
      <c r="G188" s="19"/>
      <c r="I188" s="19"/>
      <c r="J188" s="19"/>
      <c r="K188" s="19"/>
      <c r="L188" s="19"/>
      <c r="M188" s="19"/>
      <c r="N188" s="19"/>
      <c r="O188" s="19"/>
    </row>
    <row r="189" spans="1:15" hidden="1" x14ac:dyDescent="0.3">
      <c r="A189" s="19"/>
      <c r="B189" s="19"/>
      <c r="C189" s="19"/>
      <c r="D189" s="19"/>
      <c r="E189" s="19"/>
      <c r="F189" s="19"/>
      <c r="G189" s="19"/>
      <c r="I189" s="19"/>
      <c r="J189" s="19"/>
      <c r="K189" s="19"/>
      <c r="L189" s="19"/>
      <c r="M189" s="19"/>
      <c r="N189" s="19"/>
      <c r="O189" s="19"/>
    </row>
    <row r="190" spans="1:15" hidden="1" x14ac:dyDescent="0.3">
      <c r="A190" s="19"/>
      <c r="B190" s="19"/>
      <c r="C190" s="19"/>
      <c r="D190" s="19"/>
      <c r="E190" s="19"/>
      <c r="F190" s="19"/>
      <c r="G190" s="19"/>
      <c r="I190" s="19"/>
      <c r="J190" s="19"/>
      <c r="K190" s="19"/>
      <c r="L190" s="19"/>
      <c r="M190" s="19"/>
      <c r="N190" s="19"/>
      <c r="O190" s="19"/>
    </row>
    <row r="191" spans="1:15" hidden="1" x14ac:dyDescent="0.3">
      <c r="A191" s="19"/>
      <c r="B191" s="19"/>
      <c r="C191" s="19"/>
      <c r="D191" s="19"/>
      <c r="E191" s="19"/>
      <c r="F191" s="19"/>
      <c r="G191" s="19"/>
      <c r="I191" s="19"/>
      <c r="J191" s="19"/>
      <c r="K191" s="19"/>
      <c r="L191" s="19"/>
      <c r="M191" s="19"/>
      <c r="N191" s="19"/>
      <c r="O191" s="19"/>
    </row>
    <row r="192" spans="1:15" hidden="1" x14ac:dyDescent="0.3">
      <c r="A192" s="19"/>
      <c r="B192" s="19"/>
      <c r="C192" s="19"/>
      <c r="D192" s="19"/>
      <c r="E192" s="19"/>
      <c r="F192" s="19"/>
      <c r="G192" s="19"/>
      <c r="I192" s="19"/>
      <c r="J192" s="19"/>
      <c r="K192" s="19"/>
      <c r="L192" s="19"/>
      <c r="M192" s="19"/>
      <c r="N192" s="19"/>
      <c r="O192" s="19"/>
    </row>
    <row r="193" spans="1:15" hidden="1" x14ac:dyDescent="0.3">
      <c r="A193" s="19"/>
      <c r="B193" s="19"/>
      <c r="C193" s="19"/>
      <c r="D193" s="19"/>
      <c r="E193" s="19"/>
      <c r="F193" s="19"/>
      <c r="G193" s="19"/>
      <c r="I193" s="19"/>
      <c r="J193" s="19"/>
      <c r="K193" s="19"/>
      <c r="L193" s="19"/>
      <c r="M193" s="19"/>
      <c r="N193" s="19"/>
      <c r="O193" s="19"/>
    </row>
    <row r="194" spans="1:15" hidden="1" x14ac:dyDescent="0.3">
      <c r="A194" s="19"/>
      <c r="B194" s="19"/>
      <c r="C194" s="19"/>
      <c r="D194" s="19"/>
      <c r="E194" s="19"/>
      <c r="F194" s="19"/>
      <c r="G194" s="19"/>
      <c r="I194" s="19"/>
      <c r="J194" s="19"/>
      <c r="K194" s="19"/>
      <c r="L194" s="19"/>
      <c r="M194" s="19"/>
      <c r="N194" s="19"/>
      <c r="O194" s="19"/>
    </row>
    <row r="195" spans="1:15" hidden="1" x14ac:dyDescent="0.3">
      <c r="A195" s="19"/>
      <c r="B195" s="19"/>
      <c r="C195" s="19"/>
      <c r="D195" s="19"/>
      <c r="E195" s="19"/>
      <c r="F195" s="19"/>
      <c r="G195" s="19"/>
      <c r="I195" s="19"/>
      <c r="J195" s="19"/>
      <c r="K195" s="19"/>
      <c r="L195" s="19"/>
      <c r="M195" s="19"/>
      <c r="N195" s="19"/>
      <c r="O195" s="19"/>
    </row>
    <row r="196" spans="1:15" hidden="1" x14ac:dyDescent="0.3">
      <c r="A196" s="19"/>
      <c r="B196" s="19"/>
      <c r="C196" s="19"/>
      <c r="D196" s="19"/>
      <c r="E196" s="19"/>
      <c r="F196" s="19"/>
      <c r="G196" s="19"/>
      <c r="I196" s="19"/>
      <c r="J196" s="19"/>
      <c r="K196" s="19"/>
      <c r="L196" s="19"/>
      <c r="M196" s="19"/>
      <c r="N196" s="19"/>
      <c r="O196" s="19"/>
    </row>
    <row r="197" spans="1:15" hidden="1" x14ac:dyDescent="0.3">
      <c r="A197" s="19"/>
      <c r="B197" s="19"/>
      <c r="C197" s="19"/>
      <c r="D197" s="19"/>
      <c r="E197" s="19"/>
      <c r="F197" s="19"/>
      <c r="G197" s="19"/>
      <c r="I197" s="19"/>
      <c r="J197" s="19"/>
      <c r="K197" s="19"/>
      <c r="L197" s="19"/>
      <c r="M197" s="19"/>
      <c r="N197" s="19"/>
      <c r="O197" s="19"/>
    </row>
    <row r="198" spans="1:15" hidden="1" x14ac:dyDescent="0.3">
      <c r="A198" s="19"/>
      <c r="B198" s="19"/>
      <c r="C198" s="19"/>
      <c r="D198" s="19"/>
      <c r="E198" s="19"/>
      <c r="F198" s="19"/>
      <c r="G198" s="19"/>
      <c r="I198" s="19"/>
      <c r="J198" s="19"/>
      <c r="K198" s="19"/>
      <c r="L198" s="19"/>
      <c r="M198" s="19"/>
      <c r="N198" s="19"/>
      <c r="O198" s="19"/>
    </row>
    <row r="199" spans="1:15" hidden="1" x14ac:dyDescent="0.3">
      <c r="A199" s="19"/>
      <c r="B199" s="19"/>
      <c r="C199" s="19"/>
      <c r="D199" s="19"/>
      <c r="E199" s="19"/>
      <c r="F199" s="19"/>
      <c r="G199" s="19"/>
      <c r="I199" s="19"/>
      <c r="J199" s="19"/>
      <c r="K199" s="19"/>
      <c r="L199" s="19"/>
      <c r="M199" s="19"/>
      <c r="N199" s="19"/>
      <c r="O199" s="19"/>
    </row>
    <row r="200" spans="1:15" hidden="1" x14ac:dyDescent="0.3">
      <c r="A200" s="19"/>
      <c r="B200" s="19"/>
      <c r="C200" s="19"/>
      <c r="D200" s="19"/>
      <c r="E200" s="19"/>
      <c r="F200" s="19"/>
      <c r="G200" s="19"/>
      <c r="I200" s="19"/>
      <c r="J200" s="19"/>
      <c r="K200" s="19"/>
      <c r="L200" s="19"/>
      <c r="M200" s="19"/>
      <c r="N200" s="19"/>
      <c r="O200" s="19"/>
    </row>
    <row r="201" spans="1:15" hidden="1" x14ac:dyDescent="0.3">
      <c r="A201" s="19"/>
      <c r="B201" s="19"/>
      <c r="C201" s="19"/>
      <c r="D201" s="19"/>
      <c r="E201" s="19"/>
      <c r="F201" s="19"/>
      <c r="G201" s="19"/>
      <c r="I201" s="19"/>
      <c r="J201" s="19"/>
      <c r="K201" s="19"/>
      <c r="L201" s="19"/>
      <c r="M201" s="19"/>
      <c r="N201" s="19"/>
      <c r="O201" s="19"/>
    </row>
    <row r="202" spans="1:15" hidden="1" x14ac:dyDescent="0.3">
      <c r="A202" s="19"/>
      <c r="B202" s="19"/>
      <c r="C202" s="19"/>
      <c r="D202" s="19"/>
      <c r="E202" s="19"/>
      <c r="F202" s="19"/>
      <c r="G202" s="19"/>
      <c r="I202" s="19"/>
      <c r="J202" s="19"/>
      <c r="K202" s="19"/>
      <c r="L202" s="19"/>
      <c r="M202" s="19"/>
      <c r="N202" s="19"/>
      <c r="O202" s="19"/>
    </row>
    <row r="203" spans="1:15" hidden="1" x14ac:dyDescent="0.3">
      <c r="A203" s="19"/>
      <c r="B203" s="19"/>
      <c r="C203" s="19"/>
      <c r="D203" s="19"/>
      <c r="E203" s="19"/>
      <c r="F203" s="19"/>
      <c r="G203" s="19"/>
      <c r="I203" s="19"/>
      <c r="J203" s="19"/>
      <c r="K203" s="19"/>
      <c r="L203" s="19"/>
      <c r="M203" s="19"/>
      <c r="N203" s="19"/>
      <c r="O203" s="19"/>
    </row>
    <row r="204" spans="1:15" hidden="1" x14ac:dyDescent="0.3">
      <c r="A204" s="19"/>
      <c r="B204" s="19"/>
      <c r="C204" s="19"/>
      <c r="D204" s="19"/>
      <c r="E204" s="19"/>
      <c r="F204" s="19"/>
      <c r="G204" s="19"/>
      <c r="I204" s="19"/>
      <c r="J204" s="19"/>
      <c r="K204" s="19"/>
      <c r="L204" s="19"/>
      <c r="M204" s="19"/>
      <c r="N204" s="19"/>
      <c r="O204" s="19"/>
    </row>
    <row r="205" spans="1:15" hidden="1" x14ac:dyDescent="0.3">
      <c r="A205" s="19"/>
      <c r="B205" s="19"/>
      <c r="C205" s="19"/>
      <c r="D205" s="19"/>
      <c r="E205" s="19"/>
      <c r="F205" s="19"/>
      <c r="G205" s="19"/>
      <c r="I205" s="19"/>
      <c r="J205" s="19"/>
      <c r="K205" s="19"/>
      <c r="L205" s="19"/>
      <c r="M205" s="19"/>
      <c r="N205" s="19"/>
      <c r="O205" s="19"/>
    </row>
    <row r="206" spans="1:15" hidden="1" x14ac:dyDescent="0.3">
      <c r="A206" s="19"/>
      <c r="B206" s="19"/>
      <c r="C206" s="19"/>
      <c r="D206" s="19"/>
      <c r="E206" s="19"/>
      <c r="F206" s="19"/>
      <c r="G206" s="19"/>
      <c r="I206" s="19"/>
      <c r="J206" s="19"/>
      <c r="K206" s="19"/>
      <c r="L206" s="19"/>
      <c r="M206" s="19"/>
      <c r="N206" s="19"/>
      <c r="O206" s="19"/>
    </row>
    <row r="207" spans="1:15" hidden="1" x14ac:dyDescent="0.3">
      <c r="A207" s="19"/>
      <c r="B207" s="19"/>
      <c r="C207" s="19"/>
      <c r="D207" s="19"/>
      <c r="E207" s="19"/>
      <c r="F207" s="19"/>
      <c r="G207" s="19"/>
      <c r="I207" s="19"/>
      <c r="J207" s="19"/>
      <c r="K207" s="19"/>
      <c r="L207" s="19"/>
      <c r="M207" s="19"/>
      <c r="N207" s="19"/>
      <c r="O207" s="19"/>
    </row>
    <row r="208" spans="1:15" hidden="1" x14ac:dyDescent="0.3">
      <c r="A208" s="19"/>
      <c r="B208" s="19"/>
      <c r="C208" s="19"/>
      <c r="D208" s="19"/>
      <c r="E208" s="19"/>
      <c r="F208" s="19"/>
      <c r="G208" s="19"/>
      <c r="I208" s="19"/>
      <c r="J208" s="19"/>
      <c r="K208" s="19"/>
      <c r="L208" s="19"/>
      <c r="M208" s="19"/>
      <c r="N208" s="19"/>
      <c r="O208" s="19"/>
    </row>
    <row r="209" spans="1:15" hidden="1" x14ac:dyDescent="0.3">
      <c r="A209" s="19"/>
      <c r="B209" s="19"/>
      <c r="C209" s="19"/>
      <c r="D209" s="19"/>
      <c r="E209" s="19"/>
      <c r="F209" s="19"/>
      <c r="G209" s="19"/>
      <c r="I209" s="19"/>
      <c r="J209" s="19"/>
      <c r="K209" s="19"/>
      <c r="L209" s="19"/>
      <c r="M209" s="19"/>
      <c r="N209" s="19"/>
      <c r="O209" s="19"/>
    </row>
    <row r="210" spans="1:15" hidden="1" x14ac:dyDescent="0.3">
      <c r="A210" s="19"/>
      <c r="B210" s="19"/>
      <c r="C210" s="19"/>
      <c r="D210" s="19"/>
      <c r="E210" s="19"/>
      <c r="F210" s="19"/>
      <c r="G210" s="19"/>
      <c r="I210" s="19"/>
      <c r="J210" s="19"/>
      <c r="K210" s="19"/>
      <c r="L210" s="19"/>
      <c r="M210" s="19"/>
      <c r="N210" s="19"/>
      <c r="O210" s="19"/>
    </row>
    <row r="211" spans="1:15" hidden="1" x14ac:dyDescent="0.3">
      <c r="A211" s="19"/>
      <c r="B211" s="19"/>
      <c r="C211" s="19"/>
      <c r="D211" s="19"/>
      <c r="E211" s="19"/>
      <c r="F211" s="19"/>
      <c r="G211" s="19"/>
      <c r="I211" s="19"/>
      <c r="J211" s="19"/>
      <c r="K211" s="19"/>
      <c r="L211" s="19"/>
      <c r="M211" s="19"/>
      <c r="N211" s="19"/>
      <c r="O211" s="19"/>
    </row>
    <row r="212" spans="1:15" hidden="1" x14ac:dyDescent="0.3">
      <c r="A212" s="19"/>
      <c r="B212" s="19"/>
      <c r="C212" s="19"/>
      <c r="D212" s="19"/>
      <c r="E212" s="19"/>
      <c r="F212" s="19"/>
      <c r="G212" s="19"/>
      <c r="I212" s="19"/>
      <c r="J212" s="19"/>
      <c r="K212" s="19"/>
      <c r="L212" s="19"/>
      <c r="M212" s="19"/>
      <c r="N212" s="19"/>
      <c r="O212" s="19"/>
    </row>
    <row r="213" spans="1:15" hidden="1" x14ac:dyDescent="0.3">
      <c r="A213" s="19"/>
      <c r="B213" s="19"/>
      <c r="C213" s="19"/>
      <c r="D213" s="19"/>
      <c r="E213" s="19"/>
      <c r="F213" s="19"/>
      <c r="G213" s="19"/>
      <c r="I213" s="19"/>
      <c r="J213" s="19"/>
      <c r="K213" s="19"/>
      <c r="L213" s="19"/>
      <c r="M213" s="19"/>
      <c r="N213" s="19"/>
      <c r="O213" s="19"/>
    </row>
    <row r="214" spans="1:15" hidden="1" x14ac:dyDescent="0.3">
      <c r="A214" s="19"/>
      <c r="B214" s="19"/>
      <c r="C214" s="19"/>
      <c r="D214" s="19"/>
      <c r="E214" s="19"/>
      <c r="F214" s="19"/>
      <c r="G214" s="19"/>
      <c r="I214" s="19"/>
      <c r="J214" s="19"/>
      <c r="K214" s="19"/>
      <c r="L214" s="19"/>
      <c r="M214" s="19"/>
      <c r="N214" s="19"/>
      <c r="O214" s="19"/>
    </row>
    <row r="215" spans="1:15" hidden="1" x14ac:dyDescent="0.3">
      <c r="A215" s="19"/>
      <c r="B215" s="19"/>
      <c r="C215" s="19"/>
      <c r="D215" s="19"/>
      <c r="E215" s="19"/>
      <c r="F215" s="19"/>
      <c r="G215" s="19"/>
      <c r="I215" s="19"/>
      <c r="J215" s="19"/>
      <c r="K215" s="19"/>
      <c r="L215" s="19"/>
      <c r="M215" s="19"/>
      <c r="N215" s="19"/>
      <c r="O215" s="19"/>
    </row>
    <row r="216" spans="1:15" hidden="1" x14ac:dyDescent="0.3">
      <c r="A216" s="19"/>
      <c r="B216" s="19"/>
      <c r="C216" s="19"/>
      <c r="D216" s="19"/>
      <c r="E216" s="19"/>
      <c r="F216" s="19"/>
      <c r="G216" s="19"/>
      <c r="I216" s="19"/>
      <c r="J216" s="19"/>
      <c r="K216" s="19"/>
      <c r="L216" s="19"/>
      <c r="M216" s="19"/>
      <c r="N216" s="19"/>
      <c r="O216" s="19"/>
    </row>
    <row r="217" spans="1:15" hidden="1" x14ac:dyDescent="0.3">
      <c r="A217" s="19"/>
      <c r="B217" s="19"/>
      <c r="C217" s="19"/>
      <c r="D217" s="19"/>
      <c r="E217" s="19"/>
      <c r="F217" s="19"/>
      <c r="G217" s="19"/>
      <c r="I217" s="19"/>
      <c r="J217" s="19"/>
      <c r="K217" s="19"/>
      <c r="L217" s="19"/>
      <c r="M217" s="19"/>
      <c r="N217" s="19"/>
      <c r="O217" s="19"/>
    </row>
    <row r="218" spans="1:15" hidden="1" x14ac:dyDescent="0.3">
      <c r="A218" s="19"/>
      <c r="B218" s="19"/>
      <c r="C218" s="19"/>
      <c r="D218" s="19"/>
      <c r="E218" s="19"/>
      <c r="F218" s="19"/>
      <c r="G218" s="19"/>
      <c r="I218" s="19"/>
      <c r="J218" s="19"/>
      <c r="K218" s="19"/>
      <c r="L218" s="19"/>
      <c r="M218" s="19"/>
      <c r="N218" s="19"/>
      <c r="O218" s="19"/>
    </row>
    <row r="219" spans="1:15" hidden="1" x14ac:dyDescent="0.3">
      <c r="A219" s="19"/>
      <c r="B219" s="19"/>
      <c r="C219" s="19"/>
      <c r="D219" s="19"/>
      <c r="E219" s="19"/>
      <c r="F219" s="19"/>
      <c r="G219" s="19"/>
      <c r="I219" s="19"/>
      <c r="J219" s="19"/>
      <c r="K219" s="19"/>
      <c r="L219" s="19"/>
      <c r="M219" s="19"/>
      <c r="N219" s="19"/>
      <c r="O219" s="19"/>
    </row>
    <row r="220" spans="1:15" hidden="1" x14ac:dyDescent="0.3">
      <c r="A220" s="19"/>
      <c r="B220" s="19"/>
      <c r="C220" s="19"/>
      <c r="D220" s="19"/>
      <c r="E220" s="19"/>
      <c r="F220" s="19"/>
      <c r="G220" s="19"/>
      <c r="I220" s="19"/>
      <c r="J220" s="19"/>
      <c r="K220" s="19"/>
      <c r="L220" s="19"/>
      <c r="M220" s="19"/>
      <c r="N220" s="19"/>
      <c r="O220" s="19"/>
    </row>
    <row r="221" spans="1:15" hidden="1" x14ac:dyDescent="0.3">
      <c r="A221" s="19"/>
      <c r="B221" s="19"/>
      <c r="C221" s="19"/>
      <c r="D221" s="19"/>
      <c r="E221" s="19"/>
      <c r="F221" s="19"/>
      <c r="G221" s="19"/>
      <c r="I221" s="19"/>
      <c r="J221" s="19"/>
      <c r="K221" s="19"/>
      <c r="L221" s="19"/>
      <c r="M221" s="19"/>
      <c r="N221" s="19"/>
      <c r="O221" s="19"/>
    </row>
    <row r="222" spans="1:15" hidden="1" x14ac:dyDescent="0.3">
      <c r="A222" s="19"/>
      <c r="B222" s="19"/>
      <c r="C222" s="19"/>
      <c r="D222" s="19"/>
      <c r="E222" s="19"/>
      <c r="F222" s="19"/>
      <c r="G222" s="19"/>
      <c r="I222" s="19"/>
      <c r="J222" s="19"/>
      <c r="K222" s="19"/>
      <c r="L222" s="19"/>
      <c r="M222" s="19"/>
      <c r="N222" s="19"/>
      <c r="O222" s="19"/>
    </row>
    <row r="223" spans="1:15" hidden="1" x14ac:dyDescent="0.3">
      <c r="A223" s="19"/>
      <c r="B223" s="19"/>
      <c r="C223" s="19"/>
      <c r="D223" s="19"/>
      <c r="E223" s="19"/>
      <c r="F223" s="19"/>
      <c r="G223" s="19"/>
      <c r="I223" s="19"/>
      <c r="J223" s="19"/>
      <c r="K223" s="19"/>
      <c r="L223" s="19"/>
      <c r="M223" s="19"/>
      <c r="N223" s="19"/>
      <c r="O223" s="19"/>
    </row>
    <row r="224" spans="1:15" hidden="1" x14ac:dyDescent="0.3">
      <c r="A224" s="19"/>
      <c r="B224" s="19"/>
      <c r="C224" s="19"/>
      <c r="D224" s="19"/>
      <c r="E224" s="19"/>
      <c r="F224" s="19"/>
      <c r="G224" s="19"/>
      <c r="I224" s="19"/>
      <c r="J224" s="19"/>
      <c r="K224" s="19"/>
      <c r="L224" s="19"/>
      <c r="M224" s="19"/>
      <c r="N224" s="19"/>
      <c r="O224" s="19"/>
    </row>
    <row r="225" spans="1:15" hidden="1" x14ac:dyDescent="0.3">
      <c r="A225" s="19"/>
      <c r="B225" s="19"/>
      <c r="C225" s="19"/>
      <c r="D225" s="19"/>
      <c r="E225" s="19"/>
      <c r="F225" s="19"/>
      <c r="G225" s="19"/>
      <c r="I225" s="19"/>
      <c r="J225" s="19"/>
      <c r="K225" s="19"/>
      <c r="L225" s="19"/>
      <c r="M225" s="19"/>
      <c r="N225" s="19"/>
      <c r="O225" s="19"/>
    </row>
    <row r="226" spans="1:15" hidden="1" x14ac:dyDescent="0.3">
      <c r="A226" s="19"/>
      <c r="B226" s="19"/>
      <c r="C226" s="19"/>
      <c r="D226" s="19"/>
      <c r="E226" s="19"/>
      <c r="F226" s="19"/>
      <c r="G226" s="19"/>
      <c r="I226" s="19"/>
      <c r="J226" s="19"/>
      <c r="K226" s="19"/>
      <c r="L226" s="19"/>
      <c r="M226" s="19"/>
      <c r="N226" s="19"/>
      <c r="O226" s="19"/>
    </row>
    <row r="227" spans="1:15" hidden="1" x14ac:dyDescent="0.3">
      <c r="A227" s="19"/>
      <c r="B227" s="19"/>
      <c r="C227" s="19"/>
      <c r="D227" s="19"/>
      <c r="E227" s="19"/>
      <c r="F227" s="19"/>
      <c r="G227" s="19"/>
      <c r="I227" s="19"/>
      <c r="J227" s="19"/>
      <c r="K227" s="19"/>
      <c r="L227" s="19"/>
      <c r="M227" s="19"/>
      <c r="N227" s="19"/>
      <c r="O227" s="19"/>
    </row>
    <row r="228" spans="1:15" hidden="1" x14ac:dyDescent="0.3">
      <c r="A228" s="19"/>
      <c r="B228" s="19"/>
      <c r="C228" s="19"/>
      <c r="D228" s="19"/>
      <c r="E228" s="19"/>
      <c r="F228" s="19"/>
      <c r="G228" s="19"/>
      <c r="I228" s="19"/>
      <c r="J228" s="19"/>
      <c r="K228" s="19"/>
      <c r="L228" s="19"/>
      <c r="M228" s="19"/>
      <c r="N228" s="19"/>
      <c r="O228" s="19"/>
    </row>
    <row r="229" spans="1:15" hidden="1" x14ac:dyDescent="0.3">
      <c r="A229" s="19"/>
      <c r="B229" s="19"/>
      <c r="C229" s="19"/>
      <c r="D229" s="19"/>
      <c r="E229" s="19"/>
      <c r="F229" s="19"/>
      <c r="G229" s="19"/>
      <c r="I229" s="19"/>
      <c r="J229" s="19"/>
      <c r="K229" s="19"/>
      <c r="L229" s="19"/>
      <c r="M229" s="19"/>
      <c r="N229" s="19"/>
      <c r="O229" s="19"/>
    </row>
    <row r="230" spans="1:15" hidden="1" x14ac:dyDescent="0.3">
      <c r="A230" s="19"/>
      <c r="B230" s="19"/>
      <c r="C230" s="19"/>
      <c r="D230" s="19"/>
      <c r="E230" s="19"/>
      <c r="F230" s="19"/>
      <c r="G230" s="19"/>
      <c r="I230" s="19"/>
      <c r="J230" s="19"/>
      <c r="K230" s="19"/>
      <c r="L230" s="19"/>
      <c r="M230" s="19"/>
      <c r="N230" s="19"/>
      <c r="O230" s="19"/>
    </row>
    <row r="231" spans="1:15" hidden="1" x14ac:dyDescent="0.3">
      <c r="A231" s="19"/>
      <c r="B231" s="19"/>
      <c r="C231" s="19"/>
      <c r="D231" s="19"/>
      <c r="E231" s="19"/>
      <c r="F231" s="19"/>
      <c r="G231" s="19"/>
      <c r="I231" s="19"/>
      <c r="J231" s="19"/>
      <c r="K231" s="19"/>
      <c r="L231" s="19"/>
      <c r="M231" s="19"/>
      <c r="N231" s="19"/>
      <c r="O231" s="19"/>
    </row>
    <row r="232" spans="1:15" hidden="1" x14ac:dyDescent="0.3">
      <c r="A232" s="19"/>
      <c r="B232" s="19"/>
      <c r="C232" s="19"/>
      <c r="D232" s="19"/>
      <c r="E232" s="19"/>
      <c r="F232" s="19"/>
      <c r="G232" s="19"/>
      <c r="I232" s="19"/>
      <c r="J232" s="19"/>
      <c r="K232" s="19"/>
      <c r="L232" s="19"/>
      <c r="M232" s="19"/>
      <c r="N232" s="19"/>
      <c r="O232" s="19"/>
    </row>
    <row r="233" spans="1:15" hidden="1" x14ac:dyDescent="0.3">
      <c r="A233" s="19"/>
      <c r="B233" s="19"/>
      <c r="C233" s="19"/>
      <c r="D233" s="19"/>
      <c r="E233" s="19"/>
      <c r="F233" s="19"/>
      <c r="G233" s="19"/>
      <c r="I233" s="19"/>
      <c r="J233" s="19"/>
      <c r="K233" s="19"/>
      <c r="L233" s="19"/>
      <c r="M233" s="19"/>
      <c r="N233" s="19"/>
      <c r="O233" s="19"/>
    </row>
    <row r="234" spans="1:15" hidden="1" x14ac:dyDescent="0.3">
      <c r="A234" s="19"/>
      <c r="B234" s="19"/>
      <c r="C234" s="19"/>
      <c r="D234" s="19"/>
      <c r="E234" s="19"/>
      <c r="F234" s="19"/>
      <c r="G234" s="19"/>
      <c r="I234" s="19"/>
      <c r="J234" s="19"/>
      <c r="K234" s="19"/>
      <c r="L234" s="19"/>
      <c r="M234" s="19"/>
      <c r="N234" s="19"/>
      <c r="O234" s="19"/>
    </row>
    <row r="235" spans="1:15" hidden="1" x14ac:dyDescent="0.3">
      <c r="A235" s="19"/>
      <c r="B235" s="19"/>
      <c r="C235" s="19"/>
      <c r="D235" s="19"/>
      <c r="E235" s="19"/>
      <c r="F235" s="19"/>
      <c r="G235" s="19"/>
      <c r="I235" s="19"/>
      <c r="J235" s="19"/>
      <c r="K235" s="19"/>
      <c r="L235" s="19"/>
      <c r="M235" s="19"/>
      <c r="N235" s="19"/>
      <c r="O235" s="19"/>
    </row>
    <row r="236" spans="1:15" hidden="1" x14ac:dyDescent="0.3">
      <c r="A236" s="19"/>
      <c r="B236" s="19"/>
      <c r="C236" s="19"/>
      <c r="D236" s="19"/>
      <c r="E236" s="19"/>
      <c r="F236" s="19"/>
      <c r="G236" s="19"/>
      <c r="I236" s="19"/>
      <c r="J236" s="19"/>
      <c r="K236" s="19"/>
      <c r="L236" s="19"/>
      <c r="M236" s="19"/>
      <c r="N236" s="19"/>
      <c r="O236" s="19"/>
    </row>
    <row r="237" spans="1:15" hidden="1" x14ac:dyDescent="0.3">
      <c r="A237" s="19"/>
      <c r="B237" s="19"/>
      <c r="C237" s="19"/>
      <c r="D237" s="19"/>
      <c r="E237" s="19"/>
      <c r="F237" s="19"/>
      <c r="G237" s="19"/>
      <c r="I237" s="19"/>
      <c r="J237" s="19"/>
      <c r="K237" s="19"/>
      <c r="L237" s="19"/>
      <c r="M237" s="19"/>
      <c r="N237" s="19"/>
      <c r="O237" s="19"/>
    </row>
    <row r="238" spans="1:15" hidden="1" x14ac:dyDescent="0.3">
      <c r="A238" s="19"/>
      <c r="B238" s="19"/>
      <c r="C238" s="19"/>
      <c r="D238" s="19"/>
      <c r="E238" s="19"/>
      <c r="F238" s="19"/>
      <c r="G238" s="19"/>
      <c r="I238" s="19"/>
      <c r="J238" s="19"/>
      <c r="K238" s="19"/>
      <c r="L238" s="19"/>
      <c r="M238" s="19"/>
      <c r="N238" s="19"/>
      <c r="O238" s="19"/>
    </row>
    <row r="239" spans="1:15" hidden="1" x14ac:dyDescent="0.3">
      <c r="A239" s="19"/>
      <c r="B239" s="19"/>
      <c r="C239" s="19"/>
      <c r="D239" s="19"/>
      <c r="E239" s="19"/>
      <c r="F239" s="19"/>
      <c r="G239" s="19"/>
      <c r="I239" s="19"/>
      <c r="J239" s="19"/>
      <c r="K239" s="19"/>
      <c r="L239" s="19"/>
      <c r="M239" s="19"/>
      <c r="N239" s="19"/>
      <c r="O239" s="19"/>
    </row>
    <row r="240" spans="1:15" hidden="1" x14ac:dyDescent="0.3">
      <c r="A240" s="19"/>
      <c r="B240" s="19"/>
      <c r="C240" s="19"/>
      <c r="D240" s="19"/>
      <c r="E240" s="19"/>
      <c r="F240" s="19"/>
      <c r="G240" s="19"/>
      <c r="I240" s="19"/>
      <c r="J240" s="19"/>
      <c r="K240" s="19"/>
      <c r="L240" s="19"/>
      <c r="M240" s="19"/>
      <c r="N240" s="19"/>
      <c r="O240" s="19"/>
    </row>
    <row r="241" spans="1:15" hidden="1" x14ac:dyDescent="0.3">
      <c r="A241" s="19"/>
      <c r="B241" s="19"/>
      <c r="C241" s="19"/>
      <c r="D241" s="19"/>
      <c r="E241" s="19"/>
      <c r="F241" s="19"/>
      <c r="G241" s="19"/>
      <c r="I241" s="19"/>
      <c r="J241" s="19"/>
      <c r="K241" s="19"/>
      <c r="L241" s="19"/>
      <c r="M241" s="19"/>
      <c r="N241" s="19"/>
      <c r="O241" s="19"/>
    </row>
    <row r="242" spans="1:15" hidden="1" x14ac:dyDescent="0.3">
      <c r="A242" s="19"/>
      <c r="B242" s="19"/>
      <c r="C242" s="19"/>
      <c r="D242" s="19"/>
      <c r="E242" s="19"/>
      <c r="F242" s="19"/>
      <c r="G242" s="19"/>
      <c r="I242" s="19"/>
      <c r="J242" s="19"/>
      <c r="K242" s="19"/>
      <c r="L242" s="19"/>
      <c r="M242" s="19"/>
      <c r="N242" s="19"/>
      <c r="O242" s="19"/>
    </row>
    <row r="243" spans="1:15" hidden="1" x14ac:dyDescent="0.3">
      <c r="A243" s="19"/>
      <c r="B243" s="19"/>
      <c r="C243" s="19"/>
      <c r="D243" s="19"/>
      <c r="E243" s="19"/>
      <c r="F243" s="19"/>
      <c r="G243" s="19"/>
      <c r="I243" s="19"/>
      <c r="J243" s="19"/>
      <c r="K243" s="19"/>
      <c r="L243" s="19"/>
      <c r="M243" s="19"/>
      <c r="N243" s="19"/>
      <c r="O243" s="19"/>
    </row>
    <row r="244" spans="1:15" hidden="1" x14ac:dyDescent="0.3">
      <c r="A244" s="19"/>
      <c r="B244" s="19"/>
      <c r="C244" s="19"/>
      <c r="D244" s="19"/>
      <c r="E244" s="19"/>
      <c r="F244" s="19"/>
      <c r="G244" s="19"/>
      <c r="I244" s="19"/>
      <c r="J244" s="19"/>
      <c r="K244" s="19"/>
      <c r="L244" s="19"/>
      <c r="M244" s="19"/>
      <c r="N244" s="19"/>
      <c r="O244" s="19"/>
    </row>
    <row r="245" spans="1:15" hidden="1" x14ac:dyDescent="0.3">
      <c r="A245" s="19"/>
      <c r="B245" s="19"/>
      <c r="C245" s="19"/>
      <c r="D245" s="19"/>
      <c r="E245" s="19"/>
      <c r="F245" s="19"/>
      <c r="G245" s="19"/>
      <c r="I245" s="19"/>
      <c r="J245" s="19"/>
      <c r="K245" s="19"/>
      <c r="L245" s="19"/>
      <c r="M245" s="19"/>
      <c r="N245" s="19"/>
      <c r="O245" s="19"/>
    </row>
    <row r="246" spans="1:15" hidden="1" x14ac:dyDescent="0.3">
      <c r="A246" s="19"/>
      <c r="B246" s="19"/>
      <c r="C246" s="19"/>
      <c r="D246" s="19"/>
      <c r="E246" s="19"/>
      <c r="F246" s="19"/>
      <c r="G246" s="19"/>
      <c r="I246" s="19"/>
      <c r="J246" s="19"/>
      <c r="K246" s="19"/>
      <c r="L246" s="19"/>
      <c r="M246" s="19"/>
      <c r="N246" s="19"/>
      <c r="O246" s="19"/>
    </row>
    <row r="247" spans="1:15" hidden="1" x14ac:dyDescent="0.3">
      <c r="A247" s="19"/>
      <c r="B247" s="19"/>
      <c r="C247" s="19"/>
      <c r="D247" s="19"/>
      <c r="E247" s="19"/>
      <c r="F247" s="19"/>
      <c r="G247" s="19"/>
      <c r="I247" s="19"/>
      <c r="J247" s="19"/>
      <c r="K247" s="19"/>
      <c r="L247" s="19"/>
      <c r="M247" s="19"/>
      <c r="N247" s="19"/>
      <c r="O247" s="19"/>
    </row>
    <row r="248" spans="1:15" hidden="1" x14ac:dyDescent="0.3">
      <c r="A248" s="19"/>
      <c r="B248" s="19"/>
      <c r="C248" s="19"/>
      <c r="D248" s="19"/>
      <c r="E248" s="19"/>
      <c r="F248" s="19"/>
      <c r="G248" s="19"/>
      <c r="I248" s="19"/>
      <c r="J248" s="19"/>
      <c r="K248" s="19"/>
      <c r="L248" s="19"/>
      <c r="M248" s="19"/>
      <c r="N248" s="19"/>
      <c r="O248" s="19"/>
    </row>
    <row r="249" spans="1:15" hidden="1" x14ac:dyDescent="0.3">
      <c r="A249" s="19"/>
      <c r="B249" s="19"/>
      <c r="C249" s="19"/>
      <c r="D249" s="19"/>
      <c r="E249" s="19"/>
      <c r="F249" s="19"/>
      <c r="G249" s="19"/>
      <c r="I249" s="19"/>
      <c r="J249" s="19"/>
      <c r="K249" s="19"/>
      <c r="L249" s="19"/>
      <c r="M249" s="19"/>
      <c r="N249" s="19"/>
      <c r="O249" s="19"/>
    </row>
    <row r="250" spans="1:15" hidden="1" x14ac:dyDescent="0.3">
      <c r="A250" s="19"/>
      <c r="B250" s="19"/>
      <c r="C250" s="19"/>
      <c r="D250" s="19"/>
      <c r="E250" s="19"/>
      <c r="F250" s="19"/>
      <c r="G250" s="19"/>
      <c r="I250" s="19"/>
      <c r="J250" s="19"/>
      <c r="K250" s="19"/>
      <c r="L250" s="19"/>
      <c r="M250" s="19"/>
      <c r="N250" s="19"/>
      <c r="O250" s="19"/>
    </row>
    <row r="251" spans="1:15" hidden="1" x14ac:dyDescent="0.3">
      <c r="A251" s="19"/>
      <c r="B251" s="19"/>
      <c r="C251" s="19"/>
      <c r="D251" s="19"/>
      <c r="E251" s="19"/>
      <c r="F251" s="19"/>
      <c r="G251" s="19"/>
      <c r="I251" s="19"/>
      <c r="J251" s="19"/>
      <c r="K251" s="19"/>
      <c r="L251" s="19"/>
      <c r="M251" s="19"/>
      <c r="N251" s="19"/>
      <c r="O251" s="19"/>
    </row>
    <row r="252" spans="1:15" hidden="1" x14ac:dyDescent="0.3">
      <c r="A252" s="19"/>
      <c r="B252" s="19"/>
      <c r="C252" s="19"/>
      <c r="D252" s="19"/>
      <c r="E252" s="19"/>
      <c r="F252" s="19"/>
      <c r="G252" s="19"/>
      <c r="I252" s="19"/>
      <c r="J252" s="19"/>
      <c r="K252" s="19"/>
      <c r="L252" s="19"/>
      <c r="M252" s="19"/>
      <c r="N252" s="19"/>
      <c r="O252" s="19"/>
    </row>
    <row r="253" spans="1:15" hidden="1" x14ac:dyDescent="0.3">
      <c r="A253" s="19"/>
      <c r="B253" s="19"/>
      <c r="C253" s="19"/>
      <c r="D253" s="19"/>
      <c r="E253" s="19"/>
      <c r="F253" s="19"/>
      <c r="G253" s="19"/>
      <c r="I253" s="19"/>
      <c r="J253" s="19"/>
      <c r="K253" s="19"/>
      <c r="L253" s="19"/>
      <c r="M253" s="19"/>
      <c r="N253" s="19"/>
      <c r="O253" s="19"/>
    </row>
    <row r="254" spans="1:15" hidden="1" x14ac:dyDescent="0.3">
      <c r="A254" s="19"/>
      <c r="B254" s="19"/>
      <c r="C254" s="19"/>
      <c r="D254" s="19"/>
      <c r="E254" s="19"/>
      <c r="F254" s="19"/>
      <c r="G254" s="19"/>
      <c r="I254" s="19"/>
      <c r="J254" s="19"/>
      <c r="K254" s="19"/>
      <c r="L254" s="19"/>
      <c r="M254" s="19"/>
      <c r="N254" s="19"/>
      <c r="O254" s="19"/>
    </row>
    <row r="255" spans="1:15" hidden="1" x14ac:dyDescent="0.3">
      <c r="A255" s="19"/>
      <c r="B255" s="19"/>
      <c r="C255" s="19"/>
      <c r="D255" s="19"/>
      <c r="E255" s="19"/>
      <c r="F255" s="19"/>
      <c r="G255" s="19"/>
      <c r="I255" s="19"/>
      <c r="J255" s="19"/>
      <c r="K255" s="19"/>
      <c r="L255" s="19"/>
      <c r="M255" s="19"/>
      <c r="N255" s="19"/>
      <c r="O255" s="19"/>
    </row>
    <row r="256" spans="1:15" hidden="1" x14ac:dyDescent="0.3">
      <c r="A256" s="19"/>
      <c r="B256" s="19"/>
      <c r="C256" s="19"/>
      <c r="D256" s="19"/>
      <c r="E256" s="19"/>
      <c r="F256" s="19"/>
      <c r="G256" s="19"/>
      <c r="I256" s="19"/>
      <c r="J256" s="19"/>
      <c r="K256" s="19"/>
      <c r="L256" s="19"/>
      <c r="M256" s="19"/>
      <c r="N256" s="19"/>
      <c r="O256" s="19"/>
    </row>
    <row r="257" spans="1:15" hidden="1" x14ac:dyDescent="0.3">
      <c r="A257" s="19"/>
      <c r="B257" s="19"/>
      <c r="C257" s="19"/>
      <c r="D257" s="19"/>
      <c r="E257" s="19"/>
      <c r="F257" s="19"/>
      <c r="G257" s="19"/>
      <c r="I257" s="19"/>
      <c r="J257" s="19"/>
      <c r="K257" s="19"/>
      <c r="L257" s="19"/>
      <c r="M257" s="19"/>
      <c r="N257" s="19"/>
      <c r="O257" s="19"/>
    </row>
    <row r="258" spans="1:15" hidden="1" x14ac:dyDescent="0.3">
      <c r="A258" s="19"/>
      <c r="B258" s="19"/>
      <c r="C258" s="19"/>
      <c r="D258" s="19"/>
      <c r="E258" s="19"/>
      <c r="F258" s="19"/>
      <c r="G258" s="19"/>
      <c r="I258" s="19"/>
      <c r="J258" s="19"/>
      <c r="K258" s="19"/>
      <c r="L258" s="19"/>
      <c r="M258" s="19"/>
      <c r="N258" s="19"/>
      <c r="O258" s="19"/>
    </row>
    <row r="259" spans="1:15" hidden="1" x14ac:dyDescent="0.3">
      <c r="A259" s="19"/>
      <c r="B259" s="19"/>
      <c r="C259" s="19"/>
      <c r="D259" s="19"/>
      <c r="E259" s="19"/>
      <c r="F259" s="19"/>
      <c r="G259" s="19"/>
      <c r="I259" s="19"/>
      <c r="J259" s="19"/>
      <c r="K259" s="19"/>
      <c r="L259" s="19"/>
      <c r="M259" s="19"/>
      <c r="N259" s="19"/>
      <c r="O259" s="19"/>
    </row>
    <row r="260" spans="1:15" hidden="1" x14ac:dyDescent="0.3">
      <c r="A260" s="19"/>
      <c r="B260" s="19"/>
      <c r="C260" s="19"/>
      <c r="D260" s="19"/>
      <c r="E260" s="19"/>
      <c r="F260" s="19"/>
      <c r="G260" s="19"/>
      <c r="I260" s="19"/>
      <c r="J260" s="19"/>
      <c r="K260" s="19"/>
      <c r="L260" s="19"/>
      <c r="M260" s="19"/>
      <c r="N260" s="19"/>
      <c r="O260" s="19"/>
    </row>
    <row r="261" spans="1:15" hidden="1" x14ac:dyDescent="0.3">
      <c r="A261" s="19"/>
      <c r="B261" s="19"/>
      <c r="C261" s="19"/>
      <c r="D261" s="19"/>
      <c r="E261" s="19"/>
      <c r="F261" s="19"/>
      <c r="G261" s="19"/>
      <c r="I261" s="19"/>
      <c r="J261" s="19"/>
      <c r="K261" s="19"/>
      <c r="L261" s="19"/>
      <c r="M261" s="19"/>
      <c r="N261" s="19"/>
      <c r="O261" s="19"/>
    </row>
    <row r="262" spans="1:15" hidden="1" x14ac:dyDescent="0.3">
      <c r="A262" s="19"/>
      <c r="B262" s="19"/>
      <c r="C262" s="19"/>
      <c r="D262" s="19"/>
      <c r="E262" s="19"/>
      <c r="F262" s="19"/>
      <c r="G262" s="19"/>
      <c r="I262" s="19"/>
      <c r="J262" s="19"/>
      <c r="K262" s="19"/>
      <c r="L262" s="19"/>
      <c r="M262" s="19"/>
      <c r="N262" s="19"/>
      <c r="O262" s="19"/>
    </row>
    <row r="263" spans="1:15" hidden="1" x14ac:dyDescent="0.3">
      <c r="A263" s="19"/>
      <c r="B263" s="19"/>
      <c r="C263" s="19"/>
      <c r="D263" s="19"/>
      <c r="E263" s="19"/>
      <c r="F263" s="19"/>
      <c r="G263" s="19"/>
      <c r="I263" s="19"/>
      <c r="J263" s="19"/>
      <c r="K263" s="19"/>
      <c r="L263" s="19"/>
      <c r="M263" s="19"/>
      <c r="N263" s="19"/>
      <c r="O263" s="19"/>
    </row>
    <row r="264" spans="1:15" hidden="1" x14ac:dyDescent="0.3">
      <c r="A264" s="19"/>
      <c r="B264" s="19"/>
      <c r="C264" s="19"/>
      <c r="D264" s="19"/>
      <c r="E264" s="19"/>
      <c r="F264" s="19"/>
      <c r="G264" s="19"/>
      <c r="I264" s="19"/>
      <c r="J264" s="19"/>
      <c r="K264" s="19"/>
      <c r="L264" s="19"/>
      <c r="M264" s="19"/>
      <c r="N264" s="19"/>
      <c r="O264" s="19"/>
    </row>
    <row r="265" spans="1:15" hidden="1" x14ac:dyDescent="0.3">
      <c r="A265" s="19"/>
      <c r="B265" s="19"/>
      <c r="C265" s="19"/>
      <c r="D265" s="19"/>
      <c r="E265" s="19"/>
      <c r="F265" s="19"/>
      <c r="G265" s="19"/>
      <c r="I265" s="19"/>
      <c r="J265" s="19"/>
      <c r="K265" s="19"/>
      <c r="L265" s="19"/>
      <c r="M265" s="19"/>
      <c r="N265" s="19"/>
      <c r="O265" s="19"/>
    </row>
    <row r="266" spans="1:15" hidden="1" x14ac:dyDescent="0.3">
      <c r="A266" s="19"/>
      <c r="B266" s="19"/>
      <c r="C266" s="19"/>
      <c r="D266" s="19"/>
      <c r="E266" s="19"/>
      <c r="F266" s="19"/>
      <c r="G266" s="19"/>
      <c r="I266" s="19"/>
      <c r="J266" s="19"/>
      <c r="K266" s="19"/>
      <c r="L266" s="19"/>
      <c r="M266" s="19"/>
      <c r="N266" s="19"/>
      <c r="O266" s="19"/>
    </row>
    <row r="267" spans="1:15" hidden="1" x14ac:dyDescent="0.3">
      <c r="A267" s="19"/>
      <c r="B267" s="19"/>
      <c r="C267" s="19"/>
      <c r="D267" s="19"/>
      <c r="E267" s="19"/>
      <c r="F267" s="19"/>
      <c r="G267" s="19"/>
      <c r="I267" s="19"/>
      <c r="J267" s="19"/>
      <c r="K267" s="19"/>
      <c r="L267" s="19"/>
      <c r="M267" s="19"/>
      <c r="N267" s="19"/>
      <c r="O267" s="19"/>
    </row>
    <row r="268" spans="1:15" hidden="1" x14ac:dyDescent="0.3">
      <c r="A268" s="19"/>
      <c r="B268" s="19"/>
      <c r="C268" s="19"/>
      <c r="D268" s="19"/>
      <c r="E268" s="19"/>
      <c r="F268" s="19"/>
      <c r="G268" s="19"/>
      <c r="I268" s="19"/>
      <c r="J268" s="19"/>
      <c r="K268" s="19"/>
      <c r="L268" s="19"/>
      <c r="M268" s="19"/>
      <c r="N268" s="19"/>
      <c r="O268" s="19"/>
    </row>
    <row r="269" spans="1:15" hidden="1" x14ac:dyDescent="0.3">
      <c r="A269" s="19"/>
      <c r="B269" s="19"/>
      <c r="C269" s="19"/>
      <c r="D269" s="19"/>
      <c r="E269" s="19"/>
      <c r="F269" s="19"/>
      <c r="G269" s="19"/>
      <c r="I269" s="19"/>
      <c r="J269" s="19"/>
      <c r="K269" s="19"/>
      <c r="L269" s="19"/>
      <c r="M269" s="19"/>
      <c r="N269" s="19"/>
      <c r="O269" s="19"/>
    </row>
    <row r="270" spans="1:15" hidden="1" x14ac:dyDescent="0.3">
      <c r="A270" s="19"/>
      <c r="B270" s="19"/>
      <c r="C270" s="19"/>
      <c r="D270" s="19"/>
      <c r="E270" s="19"/>
      <c r="F270" s="19"/>
      <c r="G270" s="19"/>
      <c r="I270" s="19"/>
      <c r="J270" s="19"/>
      <c r="K270" s="19"/>
      <c r="L270" s="19"/>
      <c r="M270" s="19"/>
      <c r="N270" s="19"/>
      <c r="O270" s="19"/>
    </row>
    <row r="271" spans="1:15" hidden="1" x14ac:dyDescent="0.3">
      <c r="A271" s="19"/>
      <c r="B271" s="19"/>
      <c r="C271" s="19"/>
      <c r="D271" s="19"/>
      <c r="E271" s="19"/>
      <c r="F271" s="19"/>
      <c r="G271" s="19"/>
      <c r="I271" s="19"/>
      <c r="J271" s="19"/>
      <c r="K271" s="19"/>
      <c r="L271" s="19"/>
      <c r="M271" s="19"/>
      <c r="N271" s="19"/>
      <c r="O271" s="19"/>
    </row>
    <row r="272" spans="1:15" hidden="1" x14ac:dyDescent="0.3">
      <c r="A272" s="19"/>
      <c r="B272" s="19"/>
      <c r="C272" s="19"/>
      <c r="D272" s="19"/>
      <c r="E272" s="19"/>
      <c r="F272" s="19"/>
      <c r="G272" s="19"/>
      <c r="I272" s="19"/>
      <c r="J272" s="19"/>
      <c r="K272" s="19"/>
      <c r="L272" s="19"/>
      <c r="M272" s="19"/>
      <c r="N272" s="19"/>
      <c r="O272" s="19"/>
    </row>
    <row r="273" spans="1:15" hidden="1" x14ac:dyDescent="0.3">
      <c r="A273" s="19"/>
      <c r="B273" s="19"/>
      <c r="C273" s="19"/>
      <c r="D273" s="19"/>
      <c r="E273" s="19"/>
      <c r="F273" s="19"/>
      <c r="G273" s="19"/>
      <c r="I273" s="19"/>
      <c r="J273" s="19"/>
      <c r="K273" s="19"/>
      <c r="L273" s="19"/>
      <c r="M273" s="19"/>
      <c r="N273" s="19"/>
      <c r="O273" s="19"/>
    </row>
    <row r="274" spans="1:15" hidden="1" x14ac:dyDescent="0.3">
      <c r="A274" s="19"/>
      <c r="B274" s="19"/>
      <c r="C274" s="19"/>
      <c r="D274" s="19"/>
      <c r="E274" s="19"/>
      <c r="F274" s="19"/>
      <c r="G274" s="19"/>
      <c r="I274" s="19"/>
      <c r="J274" s="19"/>
      <c r="K274" s="19"/>
      <c r="L274" s="19"/>
      <c r="M274" s="19"/>
      <c r="N274" s="19"/>
      <c r="O274" s="19"/>
    </row>
    <row r="275" spans="1:15" hidden="1" x14ac:dyDescent="0.3">
      <c r="A275" s="19"/>
      <c r="B275" s="19"/>
      <c r="C275" s="19"/>
      <c r="D275" s="19"/>
      <c r="E275" s="19"/>
      <c r="F275" s="19"/>
      <c r="G275" s="19"/>
      <c r="I275" s="19"/>
      <c r="J275" s="19"/>
      <c r="K275" s="19"/>
      <c r="L275" s="19"/>
      <c r="M275" s="19"/>
      <c r="N275" s="19"/>
      <c r="O275" s="19"/>
    </row>
    <row r="276" spans="1:15" hidden="1" x14ac:dyDescent="0.3">
      <c r="A276" s="19"/>
      <c r="B276" s="19"/>
      <c r="C276" s="19"/>
      <c r="D276" s="19"/>
      <c r="E276" s="19"/>
      <c r="F276" s="19"/>
      <c r="G276" s="19"/>
      <c r="I276" s="19"/>
      <c r="J276" s="19"/>
      <c r="K276" s="19"/>
      <c r="L276" s="19"/>
      <c r="M276" s="19"/>
      <c r="N276" s="19"/>
      <c r="O276" s="19"/>
    </row>
    <row r="277" spans="1:15" hidden="1" x14ac:dyDescent="0.3">
      <c r="A277" s="19"/>
      <c r="B277" s="19"/>
      <c r="C277" s="19"/>
      <c r="D277" s="19"/>
      <c r="E277" s="19"/>
      <c r="F277" s="19"/>
      <c r="G277" s="19"/>
      <c r="I277" s="19"/>
      <c r="J277" s="19"/>
      <c r="K277" s="19"/>
      <c r="L277" s="19"/>
      <c r="M277" s="19"/>
      <c r="N277" s="19"/>
      <c r="O277" s="19"/>
    </row>
    <row r="278" spans="1:15" hidden="1" x14ac:dyDescent="0.3">
      <c r="A278" s="19"/>
      <c r="B278" s="19"/>
      <c r="C278" s="19"/>
      <c r="D278" s="19"/>
      <c r="E278" s="19"/>
      <c r="F278" s="19"/>
      <c r="G278" s="19"/>
      <c r="I278" s="19"/>
      <c r="J278" s="19"/>
      <c r="K278" s="19"/>
      <c r="L278" s="19"/>
      <c r="M278" s="19"/>
      <c r="N278" s="19"/>
      <c r="O278" s="19"/>
    </row>
    <row r="279" spans="1:15" hidden="1" x14ac:dyDescent="0.3">
      <c r="A279" s="19"/>
      <c r="B279" s="19"/>
      <c r="C279" s="19"/>
      <c r="D279" s="19"/>
      <c r="E279" s="19"/>
      <c r="F279" s="19"/>
      <c r="G279" s="19"/>
      <c r="I279" s="19"/>
      <c r="J279" s="19"/>
      <c r="K279" s="19"/>
      <c r="L279" s="19"/>
      <c r="M279" s="19"/>
      <c r="N279" s="19"/>
      <c r="O279" s="19"/>
    </row>
    <row r="280" spans="1:15" x14ac:dyDescent="0.3"/>
  </sheetData>
  <mergeCells count="2">
    <mergeCell ref="A1:A3"/>
    <mergeCell ref="A4:A6"/>
  </mergeCells>
  <pageMargins left="0.7" right="0.7" top="0.75" bottom="0.75" header="0.3" footer="0.3"/>
  <ignoredErrors>
    <ignoredError sqref="E16:E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Training data</vt:lpstr>
      <vt:lpstr>Testing data</vt:lpstr>
      <vt:lpstr>ANN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PICHARDO APONTE</dc:creator>
  <cp:lastModifiedBy>RUIZ - LOPEZ IRVING ISRAEL</cp:lastModifiedBy>
  <dcterms:created xsi:type="dcterms:W3CDTF">2026-03-02T19:19:40Z</dcterms:created>
  <dcterms:modified xsi:type="dcterms:W3CDTF">2026-04-19T21:23:11Z</dcterms:modified>
</cp:coreProperties>
</file>